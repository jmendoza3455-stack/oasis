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Parámetro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Mensual" sheetId="4" state="visible" r:id="rId4"/>
    <sheet xmlns:r="http://schemas.openxmlformats.org/officeDocument/2006/relationships" name="Equilibrio" sheetId="5" state="visible" r:id="rId5"/>
    <sheet xmlns:r="http://schemas.openxmlformats.org/officeDocument/2006/relationships" name="Sensibilidad" sheetId="6" state="visible" r:id="rId6"/>
    <sheet xmlns:r="http://schemas.openxmlformats.org/officeDocument/2006/relationships" name="Pauta vs plann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&quot;S/&quot; #,##0;[Red]-&quot;S/&quot; #,##0"/>
    <numFmt numFmtId="167" formatCode="+0%;-0%;0%"/>
    <numFmt numFmtId="168" formatCode="&quot;S/&quot; #,##0.00;[Red]-&quot;S/&quot; #,##0.00"/>
  </numFmts>
  <fonts count="7">
    <font>
      <name val="Calibri"/>
      <family val="2"/>
      <color theme="1"/>
      <sz val="11"/>
      <scheme val="minor"/>
    </font>
    <font>
      <b val="1"/>
      <color rgb="002E3B2B"/>
      <sz val="14"/>
    </font>
    <font>
      <b val="1"/>
      <color rgb="002E3B2B"/>
    </font>
    <font>
      <i val="1"/>
      <color rgb="006B6B6B"/>
      <sz val="9"/>
    </font>
    <font>
      <b val="1"/>
      <color rgb="00F7F5F0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2E3B2B"/>
      </patternFill>
    </fill>
    <fill>
      <patternFill patternType="solid">
        <fgColor rgb="00FFF2CC"/>
      </patternFill>
    </fill>
    <fill>
      <patternFill patternType="solid">
        <fgColor rgb="00E8E4D8"/>
      </patternFill>
    </fill>
  </fills>
  <borders count="2">
    <border>
      <left/>
      <right/>
      <top/>
      <bottom/>
      <diagonal/>
    </border>
    <border>
      <left style="thin">
        <color rgb="00C9C2B0"/>
      </left>
      <right style="thin">
        <color rgb="00C9C2B0"/>
      </right>
      <top style="thin">
        <color rgb="00C9C2B0"/>
      </top>
      <bottom style="thin">
        <color rgb="00C9C2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164" fontId="0" fillId="3" borderId="1" pivotButton="0" quotePrefix="0" xfId="0"/>
    <xf numFmtId="2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5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4" fontId="6" fillId="0" borderId="0" pivotButton="0" quotePrefix="0" xfId="0"/>
    <xf numFmtId="167" fontId="4" fillId="2" borderId="0" pivotButton="0" quotePrefix="0" xfId="0"/>
    <xf numFmtId="9" fontId="4" fillId="2" borderId="0" pivotButton="0" quotePrefix="0" xfId="0"/>
    <xf numFmtId="168" fontId="6" fillId="0" borderId="0" pivotButton="0" quotePrefix="0" xfId="0"/>
    <xf numFmtId="9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económico · Oasis Pachacámac · Un espacio SAWA</t>
        </is>
      </c>
    </row>
    <row r="3">
      <c r="A3" t="inlineStr">
        <is>
          <t>Versión 261018. Generado con scripts/modelo-economico.py (no editar la estructura a mano: regenerar).</t>
        </is>
      </c>
    </row>
    <row r="4">
      <c r="A4" t="inlineStr"/>
    </row>
    <row r="5">
      <c r="A5" s="2" t="inlineStr">
        <is>
          <t>Cómo usarlo</t>
        </is>
      </c>
    </row>
    <row r="6">
      <c r="A6" t="inlineStr">
        <is>
          <t>1. Cambia SOLO las celdas amarillas de la hoja Parámetros. Todo lo demás son fórmulas vivas.</t>
        </is>
      </c>
    </row>
    <row r="7">
      <c r="A7" t="inlineStr">
        <is>
          <t>2. Unit economics: margen por evento según segmento, tipo de día y canal.</t>
        </is>
      </c>
    </row>
    <row r="8">
      <c r="A8" t="inlineStr">
        <is>
          <t>3. Mensual: 12 meses desde la reapertura con la rampa de ocupación de las metas (S10).</t>
        </is>
      </c>
    </row>
    <row r="9">
      <c r="A9" t="inlineStr">
        <is>
          <t>4. Equilibrio: eventos y ocupación de equilibrio, y payback del CAPEX.</t>
        </is>
      </c>
    </row>
    <row r="10">
      <c r="A10" t="inlineStr">
        <is>
          <t>5. Sensibilidad: resultado mensual con ocupación de 20% a 80% contra ticket ±20%.</t>
        </is>
      </c>
    </row>
    <row r="11">
      <c r="A11" t="inlineStr">
        <is>
          <t>6. Pauta vs planner: cuánto puede costar como máximo un cliente directo frente al 5% del planner.</t>
        </is>
      </c>
    </row>
    <row r="12">
      <c r="A12" t="inlineStr"/>
    </row>
    <row r="13">
      <c r="A13" s="2" t="inlineStr">
        <is>
          <t>Advertencias</t>
        </is>
      </c>
    </row>
    <row r="14">
      <c r="A14" t="inlineStr">
        <is>
          <t>• Todas las cifras son SUPUESTOS (ver docs/supuestos.md). Tarifas = tarifario de ejemplo (S24), por validar.</t>
        </is>
      </c>
    </row>
    <row r="15">
      <c r="A15" t="inlineStr">
        <is>
          <t>• Costos fijos y CAPEX marcados [COMPLETAR] deben reemplazarse por cifras reales.</t>
        </is>
      </c>
    </row>
    <row r="16">
      <c r="A16" t="inlineStr">
        <is>
          <t>• Montos SIN IGV salvo que se indique. Impuesto a la renta y tratamiento tributario: por validar con contador.</t>
        </is>
      </c>
    </row>
    <row r="17">
      <c r="A17" t="inlineStr">
        <is>
          <t>• No es una proyección financiera auditada; es una herramienta para decidir precios, metas y canales.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16" customWidth="1" min="4" max="4"/>
    <col width="70" customWidth="1" min="5" max="5"/>
  </cols>
  <sheetData>
    <row r="1">
      <c r="A1" s="1" t="inlineStr">
        <is>
          <t>Parámetros (celdas amarillas = supuestos editables)</t>
        </is>
      </c>
    </row>
    <row r="2">
      <c r="A2" s="3" t="inlineStr">
        <is>
          <t>Montos en S/ sin IGV salvo indicación.</t>
        </is>
      </c>
    </row>
    <row r="4">
      <c r="A4" s="4" t="inlineStr">
        <is>
          <t>Grupo</t>
        </is>
      </c>
      <c r="B4" s="4" t="inlineStr">
        <is>
          <t>Parámetro</t>
        </is>
      </c>
      <c r="C4" s="4" t="inlineStr">
        <is>
          <t>Valor</t>
        </is>
      </c>
      <c r="D4" s="4" t="inlineStr">
        <is>
          <t>Unidad</t>
        </is>
      </c>
      <c r="E4" s="4" t="inlineStr">
        <is>
          <t>Fuente / supuesto</t>
        </is>
      </c>
    </row>
    <row r="5">
      <c r="A5" t="inlineStr">
        <is>
          <t>General</t>
        </is>
      </c>
      <c r="B5" t="inlineStr">
        <is>
          <t>IGV</t>
        </is>
      </c>
      <c r="C5" s="5" t="n">
        <v>0.18</v>
      </c>
      <c r="D5" t="inlineStr">
        <is>
          <t>%</t>
        </is>
      </c>
      <c r="E5" t="inlineStr">
        <is>
          <t>settings.igv_rate</t>
        </is>
      </c>
    </row>
    <row r="6">
      <c r="A6" t="inlineStr">
        <is>
          <t>General</t>
        </is>
      </c>
      <c r="B6" t="inlineStr">
        <is>
          <t>Tipo de cambio referencial</t>
        </is>
      </c>
      <c r="C6" s="6" t="n">
        <v>3.75</v>
      </c>
      <c r="D6" t="inlineStr">
        <is>
          <t>S/ por USD</t>
        </is>
      </c>
      <c r="E6" t="inlineStr">
        <is>
          <t>settings.currency_usd_rate</t>
        </is>
      </c>
    </row>
    <row r="7">
      <c r="A7" t="inlineStr">
        <is>
          <t>General</t>
        </is>
      </c>
      <c r="B7" t="inlineStr">
        <is>
          <t>Impuesto a la renta (régimen general)</t>
        </is>
      </c>
      <c r="C7" s="5" t="n">
        <v>0.295</v>
      </c>
      <c r="D7" t="inlineStr">
        <is>
          <t>%</t>
        </is>
      </c>
      <c r="E7" t="inlineStr">
        <is>
          <t>Por validar con contador</t>
        </is>
      </c>
    </row>
    <row r="9">
      <c r="A9" t="inlineStr">
        <is>
          <t>Calendario</t>
        </is>
      </c>
      <c r="B9" t="inlineStr">
        <is>
          <t>Días V-S-D + feriados por mes</t>
        </is>
      </c>
      <c r="C9" s="7" t="n">
        <v>13.8</v>
      </c>
      <c r="D9" t="inlineStr">
        <is>
          <t>días/mes</t>
        </is>
      </c>
      <c r="E9" t="inlineStr">
        <is>
          <t>(52×3 + ~10 feriados) / 12</t>
        </is>
      </c>
    </row>
    <row r="10">
      <c r="A10" t="inlineStr">
        <is>
          <t>Calendario</t>
        </is>
      </c>
      <c r="B10" t="inlineStr">
        <is>
          <t>Días L-J por mes</t>
        </is>
      </c>
      <c r="C10" s="7" t="n">
        <v>16.6</v>
      </c>
      <c r="D10" t="inlineStr">
        <is>
          <t>días/mes</t>
        </is>
      </c>
      <c r="E10" t="inlineStr">
        <is>
          <t>(365 − 166) / 12</t>
        </is>
      </c>
    </row>
    <row r="11">
      <c r="A11" t="inlineStr">
        <is>
          <t>Calendario</t>
        </is>
      </c>
      <c r="B11" t="inlineStr">
        <is>
          <t>Días de mantenimiento por mes</t>
        </is>
      </c>
      <c r="C11" s="7" t="n">
        <v>1</v>
      </c>
      <c r="D11" t="inlineStr">
        <is>
          <t>días/mes</t>
        </is>
      </c>
      <c r="E11" t="inlineStr">
        <is>
          <t>Bloqueos de mantenimiento (se descuentan de L-J)</t>
        </is>
      </c>
    </row>
    <row r="13">
      <c r="A13" t="inlineStr">
        <is>
          <t>Metas</t>
        </is>
      </c>
      <c r="B13" t="inlineStr">
        <is>
          <t>Ocupación V-S-D meses 1–3</t>
        </is>
      </c>
      <c r="C13" s="5" t="n">
        <v>0.5</v>
      </c>
      <c r="D13" t="inlineStr">
        <is>
          <t>%</t>
        </is>
      </c>
      <c r="E13" t="inlineStr">
        <is>
          <t>S10</t>
        </is>
      </c>
    </row>
    <row r="14">
      <c r="A14" t="inlineStr">
        <is>
          <t>Metas</t>
        </is>
      </c>
      <c r="B14" t="inlineStr">
        <is>
          <t>Ocupación V-S-D desde el mes 4</t>
        </is>
      </c>
      <c r="C14" s="5" t="n">
        <v>0.7</v>
      </c>
      <c r="D14" t="inlineStr">
        <is>
          <t>%</t>
        </is>
      </c>
      <c r="E14" t="inlineStr">
        <is>
          <t>S10</t>
        </is>
      </c>
    </row>
    <row r="15">
      <c r="A15" t="inlineStr">
        <is>
          <t>Metas</t>
        </is>
      </c>
      <c r="B15" t="inlineStr">
        <is>
          <t>Ocupación L-J al mes 6 (rampa lineal)</t>
        </is>
      </c>
      <c r="C15" s="5" t="n">
        <v>0.15</v>
      </c>
      <c r="D15" t="inlineStr">
        <is>
          <t>%</t>
        </is>
      </c>
      <c r="E15" t="inlineStr">
        <is>
          <t>S10</t>
        </is>
      </c>
    </row>
    <row r="16">
      <c r="A16" t="inlineStr">
        <is>
          <t>Metas</t>
        </is>
      </c>
      <c r="B16" t="inlineStr">
        <is>
          <t>Factor de ticket en temporada alta (dic–mar)</t>
        </is>
      </c>
      <c r="C16" s="6" t="n">
        <v>1.12</v>
      </c>
      <c r="D16" t="inlineStr">
        <is>
          <t>×</t>
        </is>
      </c>
      <c r="E16" t="inlineStr">
        <is>
          <t>Diferencia alta/baja del tarifario de ejemplo</t>
        </is>
      </c>
    </row>
    <row r="18">
      <c r="A18" t="inlineStr">
        <is>
          <t>Mezcla V-S-D</t>
        </is>
      </c>
      <c r="B18" t="inlineStr">
        <is>
          <t>Boda / social</t>
        </is>
      </c>
      <c r="C18" s="5" t="n">
        <v>0.5</v>
      </c>
      <c r="D18" t="inlineStr">
        <is>
          <t>% de eventos</t>
        </is>
      </c>
      <c r="E18" t="inlineStr">
        <is>
          <t>Supuesto; debe sumar 100%</t>
        </is>
      </c>
    </row>
    <row r="19">
      <c r="A19" t="inlineStr">
        <is>
          <t>Mezcla V-S-D</t>
        </is>
      </c>
      <c r="B19" t="inlineStr">
        <is>
          <t>Corporativo</t>
        </is>
      </c>
      <c r="C19" s="5" t="n">
        <v>0.15</v>
      </c>
      <c r="D19" t="inlineStr">
        <is>
          <t>% de eventos</t>
        </is>
      </c>
      <c r="E19" t="inlineStr">
        <is>
          <t>Supuesto; debe sumar 100%</t>
        </is>
      </c>
    </row>
    <row r="20">
      <c r="A20" t="inlineStr">
        <is>
          <t>Mezcla V-S-D</t>
        </is>
      </c>
      <c r="B20" t="inlineStr">
        <is>
          <t>Full day familiar</t>
        </is>
      </c>
      <c r="C20" s="5" t="n">
        <v>0.35</v>
      </c>
      <c r="D20" t="inlineStr">
        <is>
          <t>% de eventos</t>
        </is>
      </c>
      <c r="E20" t="inlineStr">
        <is>
          <t>Supuesto; debe sumar 100%</t>
        </is>
      </c>
    </row>
    <row r="21">
      <c r="A21" t="inlineStr">
        <is>
          <t>Mezcla L-J</t>
        </is>
      </c>
      <c r="B21" t="inlineStr">
        <is>
          <t>Boda / social</t>
        </is>
      </c>
      <c r="C21" s="5" t="n">
        <v>0.1</v>
      </c>
      <c r="D21" t="inlineStr">
        <is>
          <t>% de eventos</t>
        </is>
      </c>
      <c r="E21" t="inlineStr">
        <is>
          <t>Supuesto; debe sumar 100%</t>
        </is>
      </c>
    </row>
    <row r="22">
      <c r="A22" t="inlineStr">
        <is>
          <t>Mezcla L-J</t>
        </is>
      </c>
      <c r="B22" t="inlineStr">
        <is>
          <t>Corporativo</t>
        </is>
      </c>
      <c r="C22" s="5" t="n">
        <v>0.6</v>
      </c>
      <c r="D22" t="inlineStr">
        <is>
          <t>% de eventos</t>
        </is>
      </c>
      <c r="E22" t="inlineStr">
        <is>
          <t>Supuesto; debe sumar 100%</t>
        </is>
      </c>
    </row>
    <row r="23">
      <c r="A23" t="inlineStr">
        <is>
          <t>Mezcla L-J</t>
        </is>
      </c>
      <c r="B23" t="inlineStr">
        <is>
          <t>Full day familiar</t>
        </is>
      </c>
      <c r="C23" s="5" t="n">
        <v>0.3</v>
      </c>
      <c r="D23" t="inlineStr">
        <is>
          <t>% de eventos</t>
        </is>
      </c>
      <c r="E23" t="inlineStr">
        <is>
          <t>Supuesto; debe sumar 100%</t>
        </is>
      </c>
    </row>
    <row r="25">
      <c r="A25" t="inlineStr">
        <is>
          <t>Ticket V-S-D</t>
        </is>
      </c>
      <c r="B25" t="inlineStr">
        <is>
          <t>Boda / social</t>
        </is>
      </c>
      <c r="C25" s="8" t="n">
        <v>4233</v>
      </c>
      <c r="D25" t="inlineStr">
        <is>
          <t>S/ sin IGV</t>
        </is>
      </c>
      <c r="E25" t="inlineStr">
        <is>
          <t>Promedio V-S-D del tarifario de ejemplo (S24)</t>
        </is>
      </c>
    </row>
    <row r="26">
      <c r="A26" t="inlineStr">
        <is>
          <t>Ticket V-S-D</t>
        </is>
      </c>
      <c r="B26" t="inlineStr">
        <is>
          <t>Corporativo</t>
        </is>
      </c>
      <c r="C26" s="8" t="n">
        <v>3933</v>
      </c>
      <c r="D26" t="inlineStr">
        <is>
          <t>S/ sin IGV</t>
        </is>
      </c>
      <c r="E26" t="inlineStr">
        <is>
          <t>Promedio V-S-D del tarifario de ejemplo (S24)</t>
        </is>
      </c>
    </row>
    <row r="27">
      <c r="A27" t="inlineStr">
        <is>
          <t>Ticket V-S-D</t>
        </is>
      </c>
      <c r="B27" t="inlineStr">
        <is>
          <t>Full day familiar</t>
        </is>
      </c>
      <c r="C27" s="8" t="n">
        <v>2167</v>
      </c>
      <c r="D27" t="inlineStr">
        <is>
          <t>S/ sin IGV</t>
        </is>
      </c>
      <c r="E27" t="inlineStr">
        <is>
          <t>Promedio V-S-D del tarifario de ejemplo (S24)</t>
        </is>
      </c>
    </row>
    <row r="28">
      <c r="A28" t="inlineStr">
        <is>
          <t>Ticket L-J</t>
        </is>
      </c>
      <c r="B28" t="inlineStr">
        <is>
          <t>Boda / social</t>
        </is>
      </c>
      <c r="C28" s="8" t="n">
        <v>2700</v>
      </c>
      <c r="D28" t="inlineStr">
        <is>
          <t>S/ sin IGV</t>
        </is>
      </c>
      <c r="E28" t="inlineStr">
        <is>
          <t>Promedio L-J del tarifario de ejemplo (S24)</t>
        </is>
      </c>
    </row>
    <row r="29">
      <c r="A29" t="inlineStr">
        <is>
          <t>Ticket L-J</t>
        </is>
      </c>
      <c r="B29" t="inlineStr">
        <is>
          <t>Corporativo</t>
        </is>
      </c>
      <c r="C29" s="8" t="n">
        <v>3000</v>
      </c>
      <c r="D29" t="inlineStr">
        <is>
          <t>S/ sin IGV</t>
        </is>
      </c>
      <c r="E29" t="inlineStr">
        <is>
          <t>Promedio L-J del tarifario de ejemplo (S24)</t>
        </is>
      </c>
    </row>
    <row r="30">
      <c r="A30" t="inlineStr">
        <is>
          <t>Ticket L-J</t>
        </is>
      </c>
      <c r="B30" t="inlineStr">
        <is>
          <t>Full day familiar</t>
        </is>
      </c>
      <c r="C30" s="8" t="n">
        <v>1350</v>
      </c>
      <c r="D30" t="inlineStr">
        <is>
          <t>S/ sin IGV</t>
        </is>
      </c>
      <c r="E30" t="inlineStr">
        <is>
          <t>Promedio L-J del tarifario de ejemplo (S24)</t>
        </is>
      </c>
    </row>
    <row r="32">
      <c r="A32" t="inlineStr">
        <is>
          <t>Canales</t>
        </is>
      </c>
      <c r="B32" t="inlineStr">
        <is>
          <t>Eventos vía planner</t>
        </is>
      </c>
      <c r="C32" s="5" t="n">
        <v>0.4</v>
      </c>
      <c r="D32" t="inlineStr">
        <is>
          <t>% de eventos</t>
        </is>
      </c>
      <c r="E32" t="inlineStr">
        <is>
          <t>Supuesto</t>
        </is>
      </c>
    </row>
    <row r="33">
      <c r="A33" t="inlineStr">
        <is>
          <t>Canales</t>
        </is>
      </c>
      <c r="B33" t="inlineStr">
        <is>
          <t>Eventos directos por pauta</t>
        </is>
      </c>
      <c r="C33" s="5" t="n">
        <v>0.35</v>
      </c>
      <c r="D33" t="inlineStr">
        <is>
          <t>% de eventos</t>
        </is>
      </c>
      <c r="E33" t="inlineStr">
        <is>
          <t>Supuesto</t>
        </is>
      </c>
    </row>
    <row r="34">
      <c r="A34" t="inlineStr">
        <is>
          <t>Canales</t>
        </is>
      </c>
      <c r="B34" t="inlineStr">
        <is>
          <t>Eventos referidos / orgánicos</t>
        </is>
      </c>
      <c r="C34" s="5" t="n">
        <v>0.25</v>
      </c>
      <c r="D34" t="inlineStr">
        <is>
          <t>% de eventos</t>
        </is>
      </c>
      <c r="E34" t="inlineStr">
        <is>
          <t>Supuesto; debe sumar 100%</t>
        </is>
      </c>
    </row>
    <row r="35">
      <c r="A35" t="inlineStr">
        <is>
          <t>Canales</t>
        </is>
      </c>
      <c r="B35" t="inlineStr">
        <is>
          <t>Comisión del planner</t>
        </is>
      </c>
      <c r="C35" s="5" t="n">
        <v>0.05</v>
      </c>
      <c r="D35" t="inlineStr">
        <is>
          <t>% alquiler sin IGV</t>
        </is>
      </c>
      <c r="E35" t="inlineStr">
        <is>
          <t>S04 / settings.planner_commission_rate</t>
        </is>
      </c>
    </row>
    <row r="36">
      <c r="A36" t="inlineStr">
        <is>
          <t>Canales</t>
        </is>
      </c>
      <c r="B36" t="inlineStr">
        <is>
          <t>Pauta mensual</t>
        </is>
      </c>
      <c r="C36" s="8" t="n">
        <v>1500</v>
      </c>
      <c r="D36" t="inlineStr">
        <is>
          <t>S/ por mes</t>
        </is>
      </c>
      <c r="E36" t="inlineStr">
        <is>
          <t>S09 / settings.monthly_ad_budget</t>
        </is>
      </c>
    </row>
    <row r="37">
      <c r="A37" t="inlineStr">
        <is>
          <t>Canales</t>
        </is>
      </c>
      <c r="B37" t="inlineStr">
        <is>
          <t>Conversión lead directo → evento</t>
        </is>
      </c>
      <c r="C37" s="5" t="n">
        <v>0.08</v>
      </c>
      <c r="D37" t="inlineStr">
        <is>
          <t>%</t>
        </is>
      </c>
      <c r="E37" t="inlineStr">
        <is>
          <t>Supuesto; medir en el dashboard</t>
        </is>
      </c>
    </row>
    <row r="39">
      <c r="A39" t="inlineStr">
        <is>
          <t>Costo directo</t>
        </is>
      </c>
      <c r="B39" t="inlineStr">
        <is>
          <t>Costo directo por evento</t>
        </is>
      </c>
      <c r="C39" s="8" t="n">
        <v>1210</v>
      </c>
      <c r="D39" t="inlineStr">
        <is>
          <t>S/ por evento</t>
        </is>
      </c>
      <c r="E39" t="inlineStr">
        <is>
          <t>S28: limpieza, personal, seguridad, energía, agua, piscina, reposiciones</t>
        </is>
      </c>
    </row>
    <row r="41">
      <c r="A41" t="inlineStr">
        <is>
          <t>OPEX fijo mensual</t>
        </is>
      </c>
      <c r="B41" t="inlineStr">
        <is>
          <t>Encargado en sitio (guardián)</t>
        </is>
      </c>
      <c r="C41" s="8" t="n">
        <v>1800</v>
      </c>
      <c r="D41" t="inlineStr">
        <is>
          <t>S/ por mes</t>
        </is>
      </c>
      <c r="E41" t="inlineStr">
        <is>
          <t>[COMPLETAR] supuesto por validar</t>
        </is>
      </c>
    </row>
    <row r="42">
      <c r="A42" t="inlineStr">
        <is>
          <t>OPEX fijo mensual</t>
        </is>
      </c>
      <c r="B42" t="inlineStr">
        <is>
          <t>Mantenimiento de piscina</t>
        </is>
      </c>
      <c r="C42" s="8" t="n">
        <v>500</v>
      </c>
      <c r="D42" t="inlineStr">
        <is>
          <t>S/ por mes</t>
        </is>
      </c>
      <c r="E42" t="inlineStr">
        <is>
          <t>[COMPLETAR] supuesto por validar</t>
        </is>
      </c>
    </row>
    <row r="43">
      <c r="A43" t="inlineStr">
        <is>
          <t>OPEX fijo mensual</t>
        </is>
      </c>
      <c r="B43" t="inlineStr">
        <is>
          <t>Jardinería</t>
        </is>
      </c>
      <c r="C43" s="8" t="n">
        <v>600</v>
      </c>
      <c r="D43" t="inlineStr">
        <is>
          <t>S/ por mes</t>
        </is>
      </c>
      <c r="E43" t="inlineStr">
        <is>
          <t>[COMPLETAR] supuesto por validar</t>
        </is>
      </c>
    </row>
    <row r="44">
      <c r="A44" t="inlineStr">
        <is>
          <t>OPEX fijo mensual</t>
        </is>
      </c>
      <c r="B44" t="inlineStr">
        <is>
          <t>Servicios básicos fijos</t>
        </is>
      </c>
      <c r="C44" s="8" t="n">
        <v>400</v>
      </c>
      <c r="D44" t="inlineStr">
        <is>
          <t>S/ por mes</t>
        </is>
      </c>
      <c r="E44" t="inlineStr">
        <is>
          <t>[COMPLETAR] supuesto por validar</t>
        </is>
      </c>
    </row>
    <row r="45">
      <c r="A45" t="inlineStr">
        <is>
          <t>OPEX fijo mensual</t>
        </is>
      </c>
      <c r="B45" t="inlineStr">
        <is>
          <t>Seguro de responsabilidad civil</t>
        </is>
      </c>
      <c r="C45" s="8" t="n">
        <v>250</v>
      </c>
      <c r="D45" t="inlineStr">
        <is>
          <t>S/ por mes</t>
        </is>
      </c>
      <c r="E45" t="inlineStr">
        <is>
          <t>[COMPLETAR] supuesto por validar</t>
        </is>
      </c>
    </row>
    <row r="46">
      <c r="A46" t="inlineStr">
        <is>
          <t>OPEX fijo mensual</t>
        </is>
      </c>
      <c r="B46" t="inlineStr">
        <is>
          <t>Contabilidad</t>
        </is>
      </c>
      <c r="C46" s="8" t="n">
        <v>600</v>
      </c>
      <c r="D46" t="inlineStr">
        <is>
          <t>S/ por mes</t>
        </is>
      </c>
      <c r="E46" t="inlineStr">
        <is>
          <t>[COMPLETAR] supuesto por validar</t>
        </is>
      </c>
    </row>
    <row r="47">
      <c r="A47" t="inlineStr">
        <is>
          <t>OPEX fijo mensual</t>
        </is>
      </c>
      <c r="B47" t="inlineStr">
        <is>
          <t>Software, web y dominio</t>
        </is>
      </c>
      <c r="C47" s="8" t="n">
        <v>150</v>
      </c>
      <c r="D47" t="inlineStr">
        <is>
          <t>S/ por mes</t>
        </is>
      </c>
      <c r="E47" t="inlineStr">
        <is>
          <t>[COMPLETAR] supuesto por validar</t>
        </is>
      </c>
    </row>
    <row r="48">
      <c r="A48" t="inlineStr">
        <is>
          <t>OPEX fijo mensual</t>
        </is>
      </c>
      <c r="B48" t="inlineStr">
        <is>
          <t>Internet y telefonía</t>
        </is>
      </c>
      <c r="C48" s="8" t="n">
        <v>120</v>
      </c>
      <c r="D48" t="inlineStr">
        <is>
          <t>S/ por mes</t>
        </is>
      </c>
      <c r="E48" t="inlineStr">
        <is>
          <t>[COMPLETAR] supuesto por validar</t>
        </is>
      </c>
    </row>
    <row r="49">
      <c r="A49" t="inlineStr">
        <is>
          <t>OPEX fijo mensual</t>
        </is>
      </c>
      <c r="B49" t="inlineStr">
        <is>
          <t>Arbitrios y predial</t>
        </is>
      </c>
      <c r="C49" s="8" t="n">
        <v>250</v>
      </c>
      <c r="D49" t="inlineStr">
        <is>
          <t>S/ por mes</t>
        </is>
      </c>
      <c r="E49" t="inlineStr">
        <is>
          <t>[COMPLETAR] supuesto por validar</t>
        </is>
      </c>
    </row>
    <row r="50">
      <c r="A50" t="inlineStr">
        <is>
          <t>OPEX fijo mensual</t>
        </is>
      </c>
      <c r="B50" t="inlineStr">
        <is>
          <t>Otros e imprevistos</t>
        </is>
      </c>
      <c r="C50" s="8" t="n">
        <v>300</v>
      </c>
      <c r="D50" t="inlineStr">
        <is>
          <t>S/ por mes</t>
        </is>
      </c>
      <c r="E50" t="inlineStr">
        <is>
          <t>[COMPLETAR] supuesto por validar</t>
        </is>
      </c>
    </row>
    <row r="52">
      <c r="A52" t="inlineStr">
        <is>
          <t>CAPEX (una vez)</t>
        </is>
      </c>
      <c r="B52" t="inlineStr">
        <is>
          <t>Remodelación</t>
        </is>
      </c>
      <c r="C52" s="8" t="n">
        <v>80000</v>
      </c>
      <c r="D52" t="inlineStr">
        <is>
          <t>S/</t>
        </is>
      </c>
      <c r="E52" t="inlineStr">
        <is>
          <t>[COMPLETAR] supuesto por validar</t>
        </is>
      </c>
    </row>
    <row r="53">
      <c r="A53" t="inlineStr">
        <is>
          <t>CAPEX (una vez)</t>
        </is>
      </c>
      <c r="B53" t="inlineStr">
        <is>
          <t>Mobiliario y menaje</t>
        </is>
      </c>
      <c r="C53" s="8" t="n">
        <v>15000</v>
      </c>
      <c r="D53" t="inlineStr">
        <is>
          <t>S/</t>
        </is>
      </c>
      <c r="E53" t="inlineStr">
        <is>
          <t>[COMPLETAR] supuesto por validar</t>
        </is>
      </c>
    </row>
    <row r="54">
      <c r="A54" t="inlineStr">
        <is>
          <t>CAPEX (una vez)</t>
        </is>
      </c>
      <c r="B54" t="inlineStr">
        <is>
          <t>Equipamiento de piscina y seguridad</t>
        </is>
      </c>
      <c r="C54" s="8" t="n">
        <v>8000</v>
      </c>
      <c r="D54" t="inlineStr">
        <is>
          <t>S/</t>
        </is>
      </c>
      <c r="E54" t="inlineStr">
        <is>
          <t>[COMPLETAR] supuesto por validar</t>
        </is>
      </c>
    </row>
    <row r="55">
      <c r="A55" t="inlineStr">
        <is>
          <t>CAPEX (una vez)</t>
        </is>
      </c>
      <c r="B55" t="inlineStr">
        <is>
          <t>Señalética y marca</t>
        </is>
      </c>
      <c r="C55" s="8" t="n">
        <v>3000</v>
      </c>
      <c r="D55" t="inlineStr">
        <is>
          <t>S/</t>
        </is>
      </c>
      <c r="E55" t="inlineStr">
        <is>
          <t>[COMPLETAR] supuesto por validar</t>
        </is>
      </c>
    </row>
    <row r="56">
      <c r="A56" t="inlineStr">
        <is>
          <t>CAPEX (una vez)</t>
        </is>
      </c>
      <c r="B56" t="inlineStr">
        <is>
          <t>Lanzamiento</t>
        </is>
      </c>
      <c r="C56" s="8" t="n">
        <v>5000</v>
      </c>
      <c r="D56" t="inlineStr">
        <is>
          <t>S/</t>
        </is>
      </c>
      <c r="E56" t="inlineStr">
        <is>
          <t>[COMPLETAR] supuesto por validar</t>
        </is>
      </c>
    </row>
    <row r="58">
      <c r="B58" s="9" t="inlineStr">
        <is>
          <t>Control: mezcla V-S-D suma 100%</t>
        </is>
      </c>
      <c r="C58">
        <f>IF(ABS(Parámetros!$C$18+Parámetros!$C$19+Parámetros!$C$20-1)&lt;0.001,"OK","REVISAR")</f>
        <v/>
      </c>
    </row>
    <row r="59">
      <c r="B59" s="9" t="inlineStr">
        <is>
          <t>Control: mezcla L-J suma 100%</t>
        </is>
      </c>
      <c r="C59">
        <f>IF(ABS(Parámetros!$C$21+Parámetros!$C$22+Parámetros!$C$23-1)&lt;0.001,"OK","REVISAR")</f>
        <v/>
      </c>
    </row>
    <row r="60">
      <c r="B60" s="9" t="inlineStr">
        <is>
          <t>Control: canales suman 100%</t>
        </is>
      </c>
      <c r="C60">
        <f>IF(ABS(Parámetros!$C$32+Parámetros!$C$33+Parámetros!$C$34-1)&lt;0.001,"OK","REVISAR")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3" customWidth="1" min="4" max="4"/>
    <col width="15" customWidth="1" min="5" max="5"/>
    <col width="14" customWidth="1" min="6" max="6"/>
    <col width="18" customWidth="1" min="7" max="7"/>
    <col width="11" customWidth="1" min="8" max="8"/>
  </cols>
  <sheetData>
    <row r="1">
      <c r="A1" s="1" t="inlineStr">
        <is>
          <t>Unit economics por evento</t>
        </is>
      </c>
    </row>
    <row r="2">
      <c r="A2" s="3" t="inlineStr">
        <is>
          <t>Margen de contribución = alquiler sin IGV − costo directo − costo del canal.</t>
        </is>
      </c>
    </row>
    <row r="4">
      <c r="A4" s="4" t="inlineStr">
        <is>
          <t>Segmento</t>
        </is>
      </c>
      <c r="B4" s="4" t="inlineStr">
        <is>
          <t>Día</t>
        </is>
      </c>
      <c r="C4" s="4" t="inlineStr">
        <is>
          <t>Ticket sin IGV</t>
        </is>
      </c>
      <c r="D4" s="4" t="inlineStr">
        <is>
          <t>IGV</t>
        </is>
      </c>
      <c r="E4" s="4" t="inlineStr">
        <is>
          <t>Ticket con IGV</t>
        </is>
      </c>
      <c r="F4" s="4" t="inlineStr">
        <is>
          <t>Costo directo</t>
        </is>
      </c>
      <c r="G4" s="4" t="inlineStr">
        <is>
          <t>Contribución antes de canal</t>
        </is>
      </c>
      <c r="H4" s="4" t="inlineStr">
        <is>
          <t>Margen %</t>
        </is>
      </c>
    </row>
    <row r="5">
      <c r="A5" t="inlineStr">
        <is>
          <t>Boda / social</t>
        </is>
      </c>
      <c r="B5" t="inlineStr">
        <is>
          <t>V-S-D</t>
        </is>
      </c>
      <c r="C5" s="10">
        <f>Parámetros!$C$25</f>
        <v/>
      </c>
      <c r="D5" s="10">
        <f>C5*Parámetros!$C$5</f>
        <v/>
      </c>
      <c r="E5" s="10">
        <f>C5+D5</f>
        <v/>
      </c>
      <c r="F5" s="10">
        <f>Parámetros!$C$39</f>
        <v/>
      </c>
      <c r="G5" s="10">
        <f>C5-F5</f>
        <v/>
      </c>
      <c r="H5" s="11">
        <f>IF(C5&gt;0,G5/C5,0)</f>
        <v/>
      </c>
    </row>
    <row r="6">
      <c r="A6" t="inlineStr">
        <is>
          <t>Boda / social</t>
        </is>
      </c>
      <c r="B6" t="inlineStr">
        <is>
          <t>L-J</t>
        </is>
      </c>
      <c r="C6" s="10">
        <f>Parámetros!$C$28</f>
        <v/>
      </c>
      <c r="D6" s="10">
        <f>C6*Parámetros!$C$5</f>
        <v/>
      </c>
      <c r="E6" s="10">
        <f>C6+D6</f>
        <v/>
      </c>
      <c r="F6" s="10">
        <f>Parámetros!$C$39</f>
        <v/>
      </c>
      <c r="G6" s="10">
        <f>C6-F6</f>
        <v/>
      </c>
      <c r="H6" s="11">
        <f>IF(C6&gt;0,G6/C6,0)</f>
        <v/>
      </c>
    </row>
    <row r="7">
      <c r="A7" t="inlineStr">
        <is>
          <t>Corporativo</t>
        </is>
      </c>
      <c r="B7" t="inlineStr">
        <is>
          <t>V-S-D</t>
        </is>
      </c>
      <c r="C7" s="10">
        <f>Parámetros!$C$26</f>
        <v/>
      </c>
      <c r="D7" s="10">
        <f>C7*Parámetros!$C$5</f>
        <v/>
      </c>
      <c r="E7" s="10">
        <f>C7+D7</f>
        <v/>
      </c>
      <c r="F7" s="10">
        <f>Parámetros!$C$39</f>
        <v/>
      </c>
      <c r="G7" s="10">
        <f>C7-F7</f>
        <v/>
      </c>
      <c r="H7" s="11">
        <f>IF(C7&gt;0,G7/C7,0)</f>
        <v/>
      </c>
    </row>
    <row r="8">
      <c r="A8" t="inlineStr">
        <is>
          <t>Corporativo</t>
        </is>
      </c>
      <c r="B8" t="inlineStr">
        <is>
          <t>L-J</t>
        </is>
      </c>
      <c r="C8" s="10">
        <f>Parámetros!$C$29</f>
        <v/>
      </c>
      <c r="D8" s="10">
        <f>C8*Parámetros!$C$5</f>
        <v/>
      </c>
      <c r="E8" s="10">
        <f>C8+D8</f>
        <v/>
      </c>
      <c r="F8" s="10">
        <f>Parámetros!$C$39</f>
        <v/>
      </c>
      <c r="G8" s="10">
        <f>C8-F8</f>
        <v/>
      </c>
      <c r="H8" s="11">
        <f>IF(C8&gt;0,G8/C8,0)</f>
        <v/>
      </c>
    </row>
    <row r="9">
      <c r="A9" t="inlineStr">
        <is>
          <t>Full day familiar</t>
        </is>
      </c>
      <c r="B9" t="inlineStr">
        <is>
          <t>V-S-D</t>
        </is>
      </c>
      <c r="C9" s="10">
        <f>Parámetros!$C$27</f>
        <v/>
      </c>
      <c r="D9" s="10">
        <f>C9*Parámetros!$C$5</f>
        <v/>
      </c>
      <c r="E9" s="10">
        <f>C9+D9</f>
        <v/>
      </c>
      <c r="F9" s="10">
        <f>Parámetros!$C$39</f>
        <v/>
      </c>
      <c r="G9" s="10">
        <f>C9-F9</f>
        <v/>
      </c>
      <c r="H9" s="11">
        <f>IF(C9&gt;0,G9/C9,0)</f>
        <v/>
      </c>
    </row>
    <row r="10">
      <c r="A10" t="inlineStr">
        <is>
          <t>Full day familiar</t>
        </is>
      </c>
      <c r="B10" t="inlineStr">
        <is>
          <t>L-J</t>
        </is>
      </c>
      <c r="C10" s="10">
        <f>Parámetros!$C$30</f>
        <v/>
      </c>
      <c r="D10" s="10">
        <f>C10*Parámetros!$C$5</f>
        <v/>
      </c>
      <c r="E10" s="10">
        <f>C10+D10</f>
        <v/>
      </c>
      <c r="F10" s="10">
        <f>Parámetros!$C$39</f>
        <v/>
      </c>
      <c r="G10" s="10">
        <f>C10-F10</f>
        <v/>
      </c>
      <c r="H10" s="11">
        <f>IF(C10&gt;0,G10/C10,0)</f>
        <v/>
      </c>
    </row>
    <row r="12">
      <c r="A12" s="2" t="inlineStr">
        <is>
          <t>Estado estable (desde el mes 6)</t>
        </is>
      </c>
    </row>
    <row r="13">
      <c r="A13" t="inlineStr">
        <is>
          <t>Eventos V-S-D por mes</t>
        </is>
      </c>
      <c r="C13" s="12">
        <f>Parámetros!$C$9*Parámetros!$C$14</f>
        <v/>
      </c>
    </row>
    <row r="14">
      <c r="A14" t="inlineStr">
        <is>
          <t>Eventos L-J por mes</t>
        </is>
      </c>
      <c r="C14" s="12">
        <f>(Parámetros!$C$10-Parámetros!$C$11)*Parámetros!$C$15</f>
        <v/>
      </c>
    </row>
    <row r="15">
      <c r="A15" t="inlineStr">
        <is>
          <t>Eventos totales por mes</t>
        </is>
      </c>
      <c r="C15" s="12">
        <f>C13+C14</f>
        <v/>
      </c>
    </row>
    <row r="16">
      <c r="A16" t="inlineStr">
        <is>
          <t>Ticket promedio V-S-D</t>
        </is>
      </c>
      <c r="C16" s="10">
        <f>Parámetros!$C$18*Parámetros!$C$25+Parámetros!$C$19*Parámetros!$C$26+Parámetros!$C$20*Parámetros!$C$27</f>
        <v/>
      </c>
    </row>
    <row r="17">
      <c r="A17" t="inlineStr">
        <is>
          <t>Ticket promedio L-J</t>
        </is>
      </c>
      <c r="C17" s="10">
        <f>Parámetros!$C$21*Parámetros!$C$28+Parámetros!$C$22*Parámetros!$C$29+Parámetros!$C$23*Parámetros!$C$30</f>
        <v/>
      </c>
    </row>
    <row r="18">
      <c r="A18" t="inlineStr">
        <is>
          <t>Ticket promedio ponderado</t>
        </is>
      </c>
      <c r="C18" s="10">
        <f>IF(C15&gt;0,(C13*C16+C14*C17)/C15,0)</f>
        <v/>
      </c>
    </row>
    <row r="19">
      <c r="A19" t="inlineStr">
        <is>
          <t>Eventos directos por mes</t>
        </is>
      </c>
      <c r="C19" s="12">
        <f>C15*Parámetros!$C$33</f>
        <v/>
      </c>
    </row>
    <row r="20">
      <c r="A20" t="inlineStr">
        <is>
          <t>CAC directo (pauta / eventos directos)</t>
        </is>
      </c>
      <c r="C20" s="10">
        <f>IF(C19&gt;0,Parámetros!$C$36/C19,0)</f>
        <v/>
      </c>
    </row>
    <row r="22">
      <c r="A22" s="13" t="inlineStr">
        <is>
          <t>Canal</t>
        </is>
      </c>
      <c r="B22" s="13" t="inlineStr"/>
      <c r="C22" s="13" t="inlineStr">
        <is>
          <t>Ticket promedio</t>
        </is>
      </c>
      <c r="D22" s="13" t="inlineStr">
        <is>
          <t>Costo del canal</t>
        </is>
      </c>
      <c r="E22" s="13" t="inlineStr">
        <is>
          <t>Costo directo</t>
        </is>
      </c>
      <c r="F22" s="13" t="inlineStr">
        <is>
          <t>Contribución</t>
        </is>
      </c>
      <c r="G22" s="13" t="inlineStr">
        <is>
          <t>Margen %</t>
        </is>
      </c>
      <c r="H22" s="13" t="inlineStr">
        <is>
          <t>% de eventos</t>
        </is>
      </c>
    </row>
    <row r="23">
      <c r="A23" t="inlineStr">
        <is>
          <t>Planner (5% comisión)</t>
        </is>
      </c>
      <c r="C23" s="10">
        <f>'Unit economics'!$C$18</f>
        <v/>
      </c>
      <c r="D23" s="10">
        <f>C23*Parámetros!$C$35</f>
        <v/>
      </c>
      <c r="E23" s="10">
        <f>Parámetros!$C$39</f>
        <v/>
      </c>
      <c r="F23" s="10">
        <f>C23-D23-E23</f>
        <v/>
      </c>
      <c r="G23" s="11">
        <f>IF(C23&gt;0,F23/C23,0)</f>
        <v/>
      </c>
      <c r="H23" s="11">
        <f>Parámetros!$C$32</f>
        <v/>
      </c>
    </row>
    <row r="24">
      <c r="A24" t="inlineStr">
        <is>
          <t>Directo (pauta, CAC)</t>
        </is>
      </c>
      <c r="C24" s="10">
        <f>'Unit economics'!$C$18</f>
        <v/>
      </c>
      <c r="D24" s="10">
        <f>'Unit economics'!$C$20</f>
        <v/>
      </c>
      <c r="E24" s="10">
        <f>Parámetros!$C$39</f>
        <v/>
      </c>
      <c r="F24" s="10">
        <f>C24-D24-E24</f>
        <v/>
      </c>
      <c r="G24" s="11">
        <f>IF(C24&gt;0,F24/C24,0)</f>
        <v/>
      </c>
      <c r="H24" s="11">
        <f>Parámetros!$C$33</f>
        <v/>
      </c>
    </row>
    <row r="25">
      <c r="A25" t="inlineStr">
        <is>
          <t>Referido / orgánico</t>
        </is>
      </c>
      <c r="C25" s="10">
        <f>'Unit economics'!$C$18</f>
        <v/>
      </c>
      <c r="D25" s="10">
        <f>0</f>
        <v/>
      </c>
      <c r="E25" s="10">
        <f>Parámetros!$C$39</f>
        <v/>
      </c>
      <c r="F25" s="10">
        <f>C25-D25-E25</f>
        <v/>
      </c>
      <c r="G25" s="11">
        <f>IF(C25&gt;0,F25/C25,0)</f>
        <v/>
      </c>
      <c r="H25" s="11">
        <f>Parámetros!$C$34</f>
        <v/>
      </c>
    </row>
    <row r="26">
      <c r="A26" s="14" t="inlineStr">
        <is>
          <t>Promedio ponderado por canal</t>
        </is>
      </c>
      <c r="F26" s="10">
        <f>SUMPRODUCT(F23:F25,H23:H25)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1" customWidth="1" min="4" max="4"/>
    <col width="10" customWidth="1" min="5" max="5"/>
    <col width="12" customWidth="1" min="6" max="6"/>
    <col width="11" customWidth="1" min="7" max="7"/>
    <col width="9" customWidth="1" min="8" max="8"/>
    <col width="15" customWidth="1" min="9" max="9"/>
    <col width="14" customWidth="1" min="10" max="10"/>
    <col width="13" customWidth="1" min="11" max="11"/>
    <col width="14" customWidth="1" min="12" max="12"/>
    <col width="11" customWidth="1" min="13" max="13"/>
    <col width="15" customWidth="1" min="14" max="14"/>
    <col width="12" customWidth="1" min="15" max="15"/>
    <col width="14" customWidth="1" min="16" max="16"/>
    <col width="18" customWidth="1" min="17" max="17"/>
  </cols>
  <sheetData>
    <row r="1">
      <c r="A1" s="1" t="inlineStr">
        <is>
          <t>Proyección mensual (12 meses desde la reapertura)</t>
        </is>
      </c>
    </row>
    <row r="2">
      <c r="A2" s="3" t="inlineStr">
        <is>
          <t>Comisiones solo sobre eventos vía planner. Pauta como costo fijo mensual.</t>
        </is>
      </c>
    </row>
    <row r="4">
      <c r="A4" s="4" t="inlineStr">
        <is>
          <t>Mes</t>
        </is>
      </c>
      <c r="B4" s="4" t="inlineStr">
        <is>
          <t>N.º</t>
        </is>
      </c>
      <c r="C4" s="4" t="inlineStr">
        <is>
          <t>Temporada</t>
        </is>
      </c>
      <c r="D4" s="4" t="inlineStr">
        <is>
          <t>Ocup. V-S-D</t>
        </is>
      </c>
      <c r="E4" s="4" t="inlineStr">
        <is>
          <t>Ocup. L-J</t>
        </is>
      </c>
      <c r="F4" s="4" t="inlineStr">
        <is>
          <t>Eventos V-S-D</t>
        </is>
      </c>
      <c r="G4" s="4" t="inlineStr">
        <is>
          <t>Eventos L-J</t>
        </is>
      </c>
      <c r="H4" s="4" t="inlineStr">
        <is>
          <t>Eventos</t>
        </is>
      </c>
      <c r="I4" s="4" t="inlineStr">
        <is>
          <t>Ingreso sin IGV</t>
        </is>
      </c>
      <c r="J4" s="4" t="inlineStr">
        <is>
          <t>IGV (informativo)</t>
        </is>
      </c>
      <c r="K4" s="4" t="inlineStr">
        <is>
          <t>Comisiones</t>
        </is>
      </c>
      <c r="L4" s="4" t="inlineStr">
        <is>
          <t>Costos directos</t>
        </is>
      </c>
      <c r="M4" s="4" t="inlineStr">
        <is>
          <t>Pauta</t>
        </is>
      </c>
      <c r="N4" s="4" t="inlineStr">
        <is>
          <t>Contribución</t>
        </is>
      </c>
      <c r="O4" s="4" t="inlineStr">
        <is>
          <t>OPEX fijo</t>
        </is>
      </c>
      <c r="P4" s="4" t="inlineStr">
        <is>
          <t>EBITDA</t>
        </is>
      </c>
      <c r="Q4" s="4" t="inlineStr">
        <is>
          <t>Acumulado vs CAPEX</t>
        </is>
      </c>
    </row>
    <row r="5">
      <c r="A5" t="inlineStr">
        <is>
          <t>dic-26</t>
        </is>
      </c>
      <c r="B5" t="n">
        <v>1</v>
      </c>
      <c r="C5" t="inlineStr">
        <is>
          <t>Alta</t>
        </is>
      </c>
      <c r="D5" s="11">
        <f>IF(B5&lt;=3,Parámetros!$C$13,Parámetros!$C$14)</f>
        <v/>
      </c>
      <c r="E5" s="11">
        <f>ROUND(Parámetros!$C$15*MIN(1,B5/6),3)</f>
        <v/>
      </c>
      <c r="F5" s="12">
        <f>Parámetros!$C$9*D5</f>
        <v/>
      </c>
      <c r="G5" s="12">
        <f>(Parámetros!$C$10-Parámetros!$C$11)*E5</f>
        <v/>
      </c>
      <c r="H5" s="12">
        <f>F5+G5</f>
        <v/>
      </c>
      <c r="I5" s="10">
        <f>(F5*'Unit economics'!$C$16+G5*'Unit economics'!$C$17)*IF(C5="Alta",Parámetros!$C$16,1)</f>
        <v/>
      </c>
      <c r="J5" s="10">
        <f>I5*Parámetros!$C$5</f>
        <v/>
      </c>
      <c r="K5" s="10">
        <f>I5*Parámetros!$C$32*Parámetros!$C$35</f>
        <v/>
      </c>
      <c r="L5" s="10">
        <f>H5*Parámetros!$C$39</f>
        <v/>
      </c>
      <c r="M5" s="10">
        <f>Parámetros!$C$36</f>
        <v/>
      </c>
      <c r="N5" s="10">
        <f>I5-K5-L5-M5</f>
        <v/>
      </c>
      <c r="O5" s="10">
        <f>Parámetros!$C$41+Parámetros!$C$42+Parámetros!$C$43+Parámetros!$C$44+Parámetros!$C$45+Parámetros!$C$46+Parámetros!$C$47+Parámetros!$C$48+Parámetros!$C$49+Parámetros!$C$50</f>
        <v/>
      </c>
      <c r="P5" s="10">
        <f>N5-O5</f>
        <v/>
      </c>
      <c r="Q5" s="10">
        <f>-(Parámetros!$C$52+Parámetros!$C$53+Parámetros!$C$54+Parámetros!$C$55+Parámetros!$C$56)+P5</f>
        <v/>
      </c>
    </row>
    <row r="6">
      <c r="A6" t="inlineStr">
        <is>
          <t>ene-27</t>
        </is>
      </c>
      <c r="B6" t="n">
        <v>2</v>
      </c>
      <c r="C6" t="inlineStr">
        <is>
          <t>Alta</t>
        </is>
      </c>
      <c r="D6" s="11">
        <f>IF(B6&lt;=3,Parámetros!$C$13,Parámetros!$C$14)</f>
        <v/>
      </c>
      <c r="E6" s="11">
        <f>ROUND(Parámetros!$C$15*MIN(1,B6/6),3)</f>
        <v/>
      </c>
      <c r="F6" s="12">
        <f>Parámetros!$C$9*D6</f>
        <v/>
      </c>
      <c r="G6" s="12">
        <f>(Parámetros!$C$10-Parámetros!$C$11)*E6</f>
        <v/>
      </c>
      <c r="H6" s="12">
        <f>F6+G6</f>
        <v/>
      </c>
      <c r="I6" s="10">
        <f>(F6*'Unit economics'!$C$16+G6*'Unit economics'!$C$17)*IF(C6="Alta",Parámetros!$C$16,1)</f>
        <v/>
      </c>
      <c r="J6" s="10">
        <f>I6*Parámetros!$C$5</f>
        <v/>
      </c>
      <c r="K6" s="10">
        <f>I6*Parámetros!$C$32*Parámetros!$C$35</f>
        <v/>
      </c>
      <c r="L6" s="10">
        <f>H6*Parámetros!$C$39</f>
        <v/>
      </c>
      <c r="M6" s="10">
        <f>Parámetros!$C$36</f>
        <v/>
      </c>
      <c r="N6" s="10">
        <f>I6-K6-L6-M6</f>
        <v/>
      </c>
      <c r="O6" s="10">
        <f>Parámetros!$C$41+Parámetros!$C$42+Parámetros!$C$43+Parámetros!$C$44+Parámetros!$C$45+Parámetros!$C$46+Parámetros!$C$47+Parámetros!$C$48+Parámetros!$C$49+Parámetros!$C$50</f>
        <v/>
      </c>
      <c r="P6" s="10">
        <f>N6-O6</f>
        <v/>
      </c>
      <c r="Q6" s="10">
        <f>Q5+P6</f>
        <v/>
      </c>
    </row>
    <row r="7">
      <c r="A7" t="inlineStr">
        <is>
          <t>feb-27</t>
        </is>
      </c>
      <c r="B7" t="n">
        <v>3</v>
      </c>
      <c r="C7" t="inlineStr">
        <is>
          <t>Alta</t>
        </is>
      </c>
      <c r="D7" s="11">
        <f>IF(B7&lt;=3,Parámetros!$C$13,Parámetros!$C$14)</f>
        <v/>
      </c>
      <c r="E7" s="11">
        <f>ROUND(Parámetros!$C$15*MIN(1,B7/6),3)</f>
        <v/>
      </c>
      <c r="F7" s="12">
        <f>Parámetros!$C$9*D7</f>
        <v/>
      </c>
      <c r="G7" s="12">
        <f>(Parámetros!$C$10-Parámetros!$C$11)*E7</f>
        <v/>
      </c>
      <c r="H7" s="12">
        <f>F7+G7</f>
        <v/>
      </c>
      <c r="I7" s="10">
        <f>(F7*'Unit economics'!$C$16+G7*'Unit economics'!$C$17)*IF(C7="Alta",Parámetros!$C$16,1)</f>
        <v/>
      </c>
      <c r="J7" s="10">
        <f>I7*Parámetros!$C$5</f>
        <v/>
      </c>
      <c r="K7" s="10">
        <f>I7*Parámetros!$C$32*Parámetros!$C$35</f>
        <v/>
      </c>
      <c r="L7" s="10">
        <f>H7*Parámetros!$C$39</f>
        <v/>
      </c>
      <c r="M7" s="10">
        <f>Parámetros!$C$36</f>
        <v/>
      </c>
      <c r="N7" s="10">
        <f>I7-K7-L7-M7</f>
        <v/>
      </c>
      <c r="O7" s="10">
        <f>Parámetros!$C$41+Parámetros!$C$42+Parámetros!$C$43+Parámetros!$C$44+Parámetros!$C$45+Parámetros!$C$46+Parámetros!$C$47+Parámetros!$C$48+Parámetros!$C$49+Parámetros!$C$50</f>
        <v/>
      </c>
      <c r="P7" s="10">
        <f>N7-O7</f>
        <v/>
      </c>
      <c r="Q7" s="10">
        <f>Q6+P7</f>
        <v/>
      </c>
    </row>
    <row r="8">
      <c r="A8" t="inlineStr">
        <is>
          <t>mar-27</t>
        </is>
      </c>
      <c r="B8" t="n">
        <v>4</v>
      </c>
      <c r="C8" t="inlineStr">
        <is>
          <t>Alta</t>
        </is>
      </c>
      <c r="D8" s="11">
        <f>IF(B8&lt;=3,Parámetros!$C$13,Parámetros!$C$14)</f>
        <v/>
      </c>
      <c r="E8" s="11">
        <f>ROUND(Parámetros!$C$15*MIN(1,B8/6),3)</f>
        <v/>
      </c>
      <c r="F8" s="12">
        <f>Parámetros!$C$9*D8</f>
        <v/>
      </c>
      <c r="G8" s="12">
        <f>(Parámetros!$C$10-Parámetros!$C$11)*E8</f>
        <v/>
      </c>
      <c r="H8" s="12">
        <f>F8+G8</f>
        <v/>
      </c>
      <c r="I8" s="10">
        <f>(F8*'Unit economics'!$C$16+G8*'Unit economics'!$C$17)*IF(C8="Alta",Parámetros!$C$16,1)</f>
        <v/>
      </c>
      <c r="J8" s="10">
        <f>I8*Parámetros!$C$5</f>
        <v/>
      </c>
      <c r="K8" s="10">
        <f>I8*Parámetros!$C$32*Parámetros!$C$35</f>
        <v/>
      </c>
      <c r="L8" s="10">
        <f>H8*Parámetros!$C$39</f>
        <v/>
      </c>
      <c r="M8" s="10">
        <f>Parámetros!$C$36</f>
        <v/>
      </c>
      <c r="N8" s="10">
        <f>I8-K8-L8-M8</f>
        <v/>
      </c>
      <c r="O8" s="10">
        <f>Parámetros!$C$41+Parámetros!$C$42+Parámetros!$C$43+Parámetros!$C$44+Parámetros!$C$45+Parámetros!$C$46+Parámetros!$C$47+Parámetros!$C$48+Parámetros!$C$49+Parámetros!$C$50</f>
        <v/>
      </c>
      <c r="P8" s="10">
        <f>N8-O8</f>
        <v/>
      </c>
      <c r="Q8" s="10">
        <f>Q7+P8</f>
        <v/>
      </c>
    </row>
    <row r="9">
      <c r="A9" t="inlineStr">
        <is>
          <t>abr-27</t>
        </is>
      </c>
      <c r="B9" t="n">
        <v>5</v>
      </c>
      <c r="C9" t="inlineStr">
        <is>
          <t>Baja</t>
        </is>
      </c>
      <c r="D9" s="11">
        <f>IF(B9&lt;=3,Parámetros!$C$13,Parámetros!$C$14)</f>
        <v/>
      </c>
      <c r="E9" s="11">
        <f>ROUND(Parámetros!$C$15*MIN(1,B9/6),3)</f>
        <v/>
      </c>
      <c r="F9" s="12">
        <f>Parámetros!$C$9*D9</f>
        <v/>
      </c>
      <c r="G9" s="12">
        <f>(Parámetros!$C$10-Parámetros!$C$11)*E9</f>
        <v/>
      </c>
      <c r="H9" s="12">
        <f>F9+G9</f>
        <v/>
      </c>
      <c r="I9" s="10">
        <f>(F9*'Unit economics'!$C$16+G9*'Unit economics'!$C$17)*IF(C9="Alta",Parámetros!$C$16,1)</f>
        <v/>
      </c>
      <c r="J9" s="10">
        <f>I9*Parámetros!$C$5</f>
        <v/>
      </c>
      <c r="K9" s="10">
        <f>I9*Parámetros!$C$32*Parámetros!$C$35</f>
        <v/>
      </c>
      <c r="L9" s="10">
        <f>H9*Parámetros!$C$39</f>
        <v/>
      </c>
      <c r="M9" s="10">
        <f>Parámetros!$C$36</f>
        <v/>
      </c>
      <c r="N9" s="10">
        <f>I9-K9-L9-M9</f>
        <v/>
      </c>
      <c r="O9" s="10">
        <f>Parámetros!$C$41+Parámetros!$C$42+Parámetros!$C$43+Parámetros!$C$44+Parámetros!$C$45+Parámetros!$C$46+Parámetros!$C$47+Parámetros!$C$48+Parámetros!$C$49+Parámetros!$C$50</f>
        <v/>
      </c>
      <c r="P9" s="10">
        <f>N9-O9</f>
        <v/>
      </c>
      <c r="Q9" s="10">
        <f>Q8+P9</f>
        <v/>
      </c>
    </row>
    <row r="10">
      <c r="A10" t="inlineStr">
        <is>
          <t>may-27</t>
        </is>
      </c>
      <c r="B10" t="n">
        <v>6</v>
      </c>
      <c r="C10" t="inlineStr">
        <is>
          <t>Baja</t>
        </is>
      </c>
      <c r="D10" s="11">
        <f>IF(B10&lt;=3,Parámetros!$C$13,Parámetros!$C$14)</f>
        <v/>
      </c>
      <c r="E10" s="11">
        <f>ROUND(Parámetros!$C$15*MIN(1,B10/6),3)</f>
        <v/>
      </c>
      <c r="F10" s="12">
        <f>Parámetros!$C$9*D10</f>
        <v/>
      </c>
      <c r="G10" s="12">
        <f>(Parámetros!$C$10-Parámetros!$C$11)*E10</f>
        <v/>
      </c>
      <c r="H10" s="12">
        <f>F10+G10</f>
        <v/>
      </c>
      <c r="I10" s="10">
        <f>(F10*'Unit economics'!$C$16+G10*'Unit economics'!$C$17)*IF(C10="Alta",Parámetros!$C$16,1)</f>
        <v/>
      </c>
      <c r="J10" s="10">
        <f>I10*Parámetros!$C$5</f>
        <v/>
      </c>
      <c r="K10" s="10">
        <f>I10*Parámetros!$C$32*Parámetros!$C$35</f>
        <v/>
      </c>
      <c r="L10" s="10">
        <f>H10*Parámetros!$C$39</f>
        <v/>
      </c>
      <c r="M10" s="10">
        <f>Parámetros!$C$36</f>
        <v/>
      </c>
      <c r="N10" s="10">
        <f>I10-K10-L10-M10</f>
        <v/>
      </c>
      <c r="O10" s="10">
        <f>Parámetros!$C$41+Parámetros!$C$42+Parámetros!$C$43+Parámetros!$C$44+Parámetros!$C$45+Parámetros!$C$46+Parámetros!$C$47+Parámetros!$C$48+Parámetros!$C$49+Parámetros!$C$50</f>
        <v/>
      </c>
      <c r="P10" s="10">
        <f>N10-O10</f>
        <v/>
      </c>
      <c r="Q10" s="10">
        <f>Q9+P10</f>
        <v/>
      </c>
    </row>
    <row r="11">
      <c r="A11" t="inlineStr">
        <is>
          <t>jun-27</t>
        </is>
      </c>
      <c r="B11" t="n">
        <v>7</v>
      </c>
      <c r="C11" t="inlineStr">
        <is>
          <t>Baja</t>
        </is>
      </c>
      <c r="D11" s="11">
        <f>IF(B11&lt;=3,Parámetros!$C$13,Parámetros!$C$14)</f>
        <v/>
      </c>
      <c r="E11" s="11">
        <f>ROUND(Parámetros!$C$15*MIN(1,B11/6),3)</f>
        <v/>
      </c>
      <c r="F11" s="12">
        <f>Parámetros!$C$9*D11</f>
        <v/>
      </c>
      <c r="G11" s="12">
        <f>(Parámetros!$C$10-Parámetros!$C$11)*E11</f>
        <v/>
      </c>
      <c r="H11" s="12">
        <f>F11+G11</f>
        <v/>
      </c>
      <c r="I11" s="10">
        <f>(F11*'Unit economics'!$C$16+G11*'Unit economics'!$C$17)*IF(C11="Alta",Parámetros!$C$16,1)</f>
        <v/>
      </c>
      <c r="J11" s="10">
        <f>I11*Parámetros!$C$5</f>
        <v/>
      </c>
      <c r="K11" s="10">
        <f>I11*Parámetros!$C$32*Parámetros!$C$35</f>
        <v/>
      </c>
      <c r="L11" s="10">
        <f>H11*Parámetros!$C$39</f>
        <v/>
      </c>
      <c r="M11" s="10">
        <f>Parámetros!$C$36</f>
        <v/>
      </c>
      <c r="N11" s="10">
        <f>I11-K11-L11-M11</f>
        <v/>
      </c>
      <c r="O11" s="10">
        <f>Parámetros!$C$41+Parámetros!$C$42+Parámetros!$C$43+Parámetros!$C$44+Parámetros!$C$45+Parámetros!$C$46+Parámetros!$C$47+Parámetros!$C$48+Parámetros!$C$49+Parámetros!$C$50</f>
        <v/>
      </c>
      <c r="P11" s="10">
        <f>N11-O11</f>
        <v/>
      </c>
      <c r="Q11" s="10">
        <f>Q10+P11</f>
        <v/>
      </c>
    </row>
    <row r="12">
      <c r="A12" t="inlineStr">
        <is>
          <t>jul-27</t>
        </is>
      </c>
      <c r="B12" t="n">
        <v>8</v>
      </c>
      <c r="C12" t="inlineStr">
        <is>
          <t>Baja</t>
        </is>
      </c>
      <c r="D12" s="11">
        <f>IF(B12&lt;=3,Parámetros!$C$13,Parámetros!$C$14)</f>
        <v/>
      </c>
      <c r="E12" s="11">
        <f>ROUND(Parámetros!$C$15*MIN(1,B12/6),3)</f>
        <v/>
      </c>
      <c r="F12" s="12">
        <f>Parámetros!$C$9*D12</f>
        <v/>
      </c>
      <c r="G12" s="12">
        <f>(Parámetros!$C$10-Parámetros!$C$11)*E12</f>
        <v/>
      </c>
      <c r="H12" s="12">
        <f>F12+G12</f>
        <v/>
      </c>
      <c r="I12" s="10">
        <f>(F12*'Unit economics'!$C$16+G12*'Unit economics'!$C$17)*IF(C12="Alta",Parámetros!$C$16,1)</f>
        <v/>
      </c>
      <c r="J12" s="10">
        <f>I12*Parámetros!$C$5</f>
        <v/>
      </c>
      <c r="K12" s="10">
        <f>I12*Parámetros!$C$32*Parámetros!$C$35</f>
        <v/>
      </c>
      <c r="L12" s="10">
        <f>H12*Parámetros!$C$39</f>
        <v/>
      </c>
      <c r="M12" s="10">
        <f>Parámetros!$C$36</f>
        <v/>
      </c>
      <c r="N12" s="10">
        <f>I12-K12-L12-M12</f>
        <v/>
      </c>
      <c r="O12" s="10">
        <f>Parámetros!$C$41+Parámetros!$C$42+Parámetros!$C$43+Parámetros!$C$44+Parámetros!$C$45+Parámetros!$C$46+Parámetros!$C$47+Parámetros!$C$48+Parámetros!$C$49+Parámetros!$C$50</f>
        <v/>
      </c>
      <c r="P12" s="10">
        <f>N12-O12</f>
        <v/>
      </c>
      <c r="Q12" s="10">
        <f>Q11+P12</f>
        <v/>
      </c>
    </row>
    <row r="13">
      <c r="A13" t="inlineStr">
        <is>
          <t>ago-27</t>
        </is>
      </c>
      <c r="B13" t="n">
        <v>9</v>
      </c>
      <c r="C13" t="inlineStr">
        <is>
          <t>Baja</t>
        </is>
      </c>
      <c r="D13" s="11">
        <f>IF(B13&lt;=3,Parámetros!$C$13,Parámetros!$C$14)</f>
        <v/>
      </c>
      <c r="E13" s="11">
        <f>ROUND(Parámetros!$C$15*MIN(1,B13/6),3)</f>
        <v/>
      </c>
      <c r="F13" s="12">
        <f>Parámetros!$C$9*D13</f>
        <v/>
      </c>
      <c r="G13" s="12">
        <f>(Parámetros!$C$10-Parámetros!$C$11)*E13</f>
        <v/>
      </c>
      <c r="H13" s="12">
        <f>F13+G13</f>
        <v/>
      </c>
      <c r="I13" s="10">
        <f>(F13*'Unit economics'!$C$16+G13*'Unit economics'!$C$17)*IF(C13="Alta",Parámetros!$C$16,1)</f>
        <v/>
      </c>
      <c r="J13" s="10">
        <f>I13*Parámetros!$C$5</f>
        <v/>
      </c>
      <c r="K13" s="10">
        <f>I13*Parámetros!$C$32*Parámetros!$C$35</f>
        <v/>
      </c>
      <c r="L13" s="10">
        <f>H13*Parámetros!$C$39</f>
        <v/>
      </c>
      <c r="M13" s="10">
        <f>Parámetros!$C$36</f>
        <v/>
      </c>
      <c r="N13" s="10">
        <f>I13-K13-L13-M13</f>
        <v/>
      </c>
      <c r="O13" s="10">
        <f>Parámetros!$C$41+Parámetros!$C$42+Parámetros!$C$43+Parámetros!$C$44+Parámetros!$C$45+Parámetros!$C$46+Parámetros!$C$47+Parámetros!$C$48+Parámetros!$C$49+Parámetros!$C$50</f>
        <v/>
      </c>
      <c r="P13" s="10">
        <f>N13-O13</f>
        <v/>
      </c>
      <c r="Q13" s="10">
        <f>Q12+P13</f>
        <v/>
      </c>
    </row>
    <row r="14">
      <c r="A14" t="inlineStr">
        <is>
          <t>set-27</t>
        </is>
      </c>
      <c r="B14" t="n">
        <v>10</v>
      </c>
      <c r="C14" t="inlineStr">
        <is>
          <t>Baja</t>
        </is>
      </c>
      <c r="D14" s="11">
        <f>IF(B14&lt;=3,Parámetros!$C$13,Parámetros!$C$14)</f>
        <v/>
      </c>
      <c r="E14" s="11">
        <f>ROUND(Parámetros!$C$15*MIN(1,B14/6),3)</f>
        <v/>
      </c>
      <c r="F14" s="12">
        <f>Parámetros!$C$9*D14</f>
        <v/>
      </c>
      <c r="G14" s="12">
        <f>(Parámetros!$C$10-Parámetros!$C$11)*E14</f>
        <v/>
      </c>
      <c r="H14" s="12">
        <f>F14+G14</f>
        <v/>
      </c>
      <c r="I14" s="10">
        <f>(F14*'Unit economics'!$C$16+G14*'Unit economics'!$C$17)*IF(C14="Alta",Parámetros!$C$16,1)</f>
        <v/>
      </c>
      <c r="J14" s="10">
        <f>I14*Parámetros!$C$5</f>
        <v/>
      </c>
      <c r="K14" s="10">
        <f>I14*Parámetros!$C$32*Parámetros!$C$35</f>
        <v/>
      </c>
      <c r="L14" s="10">
        <f>H14*Parámetros!$C$39</f>
        <v/>
      </c>
      <c r="M14" s="10">
        <f>Parámetros!$C$36</f>
        <v/>
      </c>
      <c r="N14" s="10">
        <f>I14-K14-L14-M14</f>
        <v/>
      </c>
      <c r="O14" s="10">
        <f>Parámetros!$C$41+Parámetros!$C$42+Parámetros!$C$43+Parámetros!$C$44+Parámetros!$C$45+Parámetros!$C$46+Parámetros!$C$47+Parámetros!$C$48+Parámetros!$C$49+Parámetros!$C$50</f>
        <v/>
      </c>
      <c r="P14" s="10">
        <f>N14-O14</f>
        <v/>
      </c>
      <c r="Q14" s="10">
        <f>Q13+P14</f>
        <v/>
      </c>
    </row>
    <row r="15">
      <c r="A15" t="inlineStr">
        <is>
          <t>oct-27</t>
        </is>
      </c>
      <c r="B15" t="n">
        <v>11</v>
      </c>
      <c r="C15" t="inlineStr">
        <is>
          <t>Baja</t>
        </is>
      </c>
      <c r="D15" s="11">
        <f>IF(B15&lt;=3,Parámetros!$C$13,Parámetros!$C$14)</f>
        <v/>
      </c>
      <c r="E15" s="11">
        <f>ROUND(Parámetros!$C$15*MIN(1,B15/6),3)</f>
        <v/>
      </c>
      <c r="F15" s="12">
        <f>Parámetros!$C$9*D15</f>
        <v/>
      </c>
      <c r="G15" s="12">
        <f>(Parámetros!$C$10-Parámetros!$C$11)*E15</f>
        <v/>
      </c>
      <c r="H15" s="12">
        <f>F15+G15</f>
        <v/>
      </c>
      <c r="I15" s="10">
        <f>(F15*'Unit economics'!$C$16+G15*'Unit economics'!$C$17)*IF(C15="Alta",Parámetros!$C$16,1)</f>
        <v/>
      </c>
      <c r="J15" s="10">
        <f>I15*Parámetros!$C$5</f>
        <v/>
      </c>
      <c r="K15" s="10">
        <f>I15*Parámetros!$C$32*Parámetros!$C$35</f>
        <v/>
      </c>
      <c r="L15" s="10">
        <f>H15*Parámetros!$C$39</f>
        <v/>
      </c>
      <c r="M15" s="10">
        <f>Parámetros!$C$36</f>
        <v/>
      </c>
      <c r="N15" s="10">
        <f>I15-K15-L15-M15</f>
        <v/>
      </c>
      <c r="O15" s="10">
        <f>Parámetros!$C$41+Parámetros!$C$42+Parámetros!$C$43+Parámetros!$C$44+Parámetros!$C$45+Parámetros!$C$46+Parámetros!$C$47+Parámetros!$C$48+Parámetros!$C$49+Parámetros!$C$50</f>
        <v/>
      </c>
      <c r="P15" s="10">
        <f>N15-O15</f>
        <v/>
      </c>
      <c r="Q15" s="10">
        <f>Q14+P15</f>
        <v/>
      </c>
    </row>
    <row r="16">
      <c r="A16" t="inlineStr">
        <is>
          <t>nov-27</t>
        </is>
      </c>
      <c r="B16" t="n">
        <v>12</v>
      </c>
      <c r="C16" t="inlineStr">
        <is>
          <t>Baja</t>
        </is>
      </c>
      <c r="D16" s="11">
        <f>IF(B16&lt;=3,Parámetros!$C$13,Parámetros!$C$14)</f>
        <v/>
      </c>
      <c r="E16" s="11">
        <f>ROUND(Parámetros!$C$15*MIN(1,B16/6),3)</f>
        <v/>
      </c>
      <c r="F16" s="12">
        <f>Parámetros!$C$9*D16</f>
        <v/>
      </c>
      <c r="G16" s="12">
        <f>(Parámetros!$C$10-Parámetros!$C$11)*E16</f>
        <v/>
      </c>
      <c r="H16" s="12">
        <f>F16+G16</f>
        <v/>
      </c>
      <c r="I16" s="10">
        <f>(F16*'Unit economics'!$C$16+G16*'Unit economics'!$C$17)*IF(C16="Alta",Parámetros!$C$16,1)</f>
        <v/>
      </c>
      <c r="J16" s="10">
        <f>I16*Parámetros!$C$5</f>
        <v/>
      </c>
      <c r="K16" s="10">
        <f>I16*Parámetros!$C$32*Parámetros!$C$35</f>
        <v/>
      </c>
      <c r="L16" s="10">
        <f>H16*Parámetros!$C$39</f>
        <v/>
      </c>
      <c r="M16" s="10">
        <f>Parámetros!$C$36</f>
        <v/>
      </c>
      <c r="N16" s="10">
        <f>I16-K16-L16-M16</f>
        <v/>
      </c>
      <c r="O16" s="10">
        <f>Parámetros!$C$41+Parámetros!$C$42+Parámetros!$C$43+Parámetros!$C$44+Parámetros!$C$45+Parámetros!$C$46+Parámetros!$C$47+Parámetros!$C$48+Parámetros!$C$49+Parámetros!$C$50</f>
        <v/>
      </c>
      <c r="P16" s="10">
        <f>N16-O16</f>
        <v/>
      </c>
      <c r="Q16" s="10">
        <f>Q15+P16</f>
        <v/>
      </c>
    </row>
    <row r="17">
      <c r="A17" s="14" t="inlineStr">
        <is>
          <t>Total año</t>
        </is>
      </c>
      <c r="F17" s="15">
        <f>SUM(F5:F16)</f>
        <v/>
      </c>
      <c r="G17" s="15">
        <f>SUM(G5:G16)</f>
        <v/>
      </c>
      <c r="H17" s="15">
        <f>SUM(H5:H16)</f>
        <v/>
      </c>
      <c r="I17" s="16">
        <f>SUM(I5:I16)</f>
        <v/>
      </c>
      <c r="J17" s="16">
        <f>SUM(J5:J16)</f>
        <v/>
      </c>
      <c r="K17" s="16">
        <f>SUM(K5:K16)</f>
        <v/>
      </c>
      <c r="L17" s="16">
        <f>SUM(L5:L16)</f>
        <v/>
      </c>
      <c r="M17" s="16">
        <f>SUM(M5:M16)</f>
        <v/>
      </c>
      <c r="N17" s="16">
        <f>SUM(N5:N16)</f>
        <v/>
      </c>
      <c r="O17" s="16">
        <f>SUM(O5:O16)</f>
        <v/>
      </c>
      <c r="P17" s="16">
        <f>SUM(P5:P16)</f>
        <v/>
      </c>
    </row>
    <row r="19">
      <c r="A19" s="14" t="inlineStr">
        <is>
          <t>Mes de payback (dentro del año)</t>
        </is>
      </c>
      <c r="F19">
        <f>IFERROR(INDEX(A5:A16,MATCH(TRUE,INDEX(Q5:Q16&gt;=0,0),0)),"Después del mes 12")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70" customWidth="1" min="3" max="3"/>
  </cols>
  <sheetData>
    <row r="1">
      <c r="A1" s="1" t="inlineStr">
        <is>
          <t>Punto de equilibrio y payback (estado estable)</t>
        </is>
      </c>
    </row>
    <row r="4">
      <c r="A4" s="4" t="inlineStr">
        <is>
          <t>Indicador</t>
        </is>
      </c>
      <c r="B4" s="4" t="inlineStr">
        <is>
          <t>Valor</t>
        </is>
      </c>
      <c r="C4" s="4" t="inlineStr">
        <is>
          <t>Cómo se calcula</t>
        </is>
      </c>
    </row>
    <row r="5">
      <c r="A5" t="inlineStr">
        <is>
          <t>Ticket promedio ponderado (sin IGV)</t>
        </is>
      </c>
      <c r="B5" s="16">
        <f>'Unit economics'!$C$18</f>
        <v/>
      </c>
      <c r="C5" t="inlineStr">
        <is>
          <t>Unit economics</t>
        </is>
      </c>
    </row>
    <row r="6">
      <c r="A6" t="inlineStr">
        <is>
          <t>Contribución por evento (promedio de canales, sin pauta)</t>
        </is>
      </c>
      <c r="B6" s="16">
        <f>B5-Parámetros!$C$39-B5*Parámetros!$C$32*Parámetros!$C$35</f>
        <v/>
      </c>
      <c r="C6" t="inlineStr">
        <is>
          <t>Ticket − costo directo − comisión media</t>
        </is>
      </c>
    </row>
    <row r="7">
      <c r="A7" t="inlineStr">
        <is>
          <t>Costos fijos mensuales (OPEX + pauta)</t>
        </is>
      </c>
      <c r="B7" s="16">
        <f>Parámetros!$C$41+Parámetros!$C$42+Parámetros!$C$43+Parámetros!$C$44+Parámetros!$C$45+Parámetros!$C$46+Parámetros!$C$47+Parámetros!$C$48+Parámetros!$C$49+Parámetros!$C$50+Parámetros!$C$36</f>
        <v/>
      </c>
      <c r="C7" t="inlineStr">
        <is>
          <t>Parámetros</t>
        </is>
      </c>
    </row>
    <row r="8">
      <c r="A8" t="inlineStr">
        <is>
          <t>Eventos de equilibrio por mes</t>
        </is>
      </c>
      <c r="B8" s="15">
        <f>IF(B6&gt;0,B7/B6,0)</f>
        <v/>
      </c>
      <c r="C8" t="inlineStr">
        <is>
          <t>Costos fijos / contribución por evento</t>
        </is>
      </c>
    </row>
    <row r="9">
      <c r="A9" t="inlineStr">
        <is>
          <t>Días disponibles por mes</t>
        </is>
      </c>
      <c r="B9" s="15">
        <f>Parámetros!$C$9+Parámetros!$C$10-Parámetros!$C$11</f>
        <v/>
      </c>
      <c r="C9" t="inlineStr">
        <is>
          <t>V-S-D + L-J − mantenimiento</t>
        </is>
      </c>
    </row>
    <row r="10">
      <c r="A10" t="inlineStr">
        <is>
          <t>Ocupación de equilibrio</t>
        </is>
      </c>
      <c r="B10" s="17">
        <f>IF(B9&gt;0,B8/B9,0)</f>
        <v/>
      </c>
      <c r="C10" t="inlineStr">
        <is>
          <t>Eventos de equilibrio / días disponibles</t>
        </is>
      </c>
    </row>
    <row r="11">
      <c r="A11" t="inlineStr">
        <is>
          <t>Eventos por mes en meta (estado estable)</t>
        </is>
      </c>
      <c r="B11" s="15">
        <f>'Unit economics'!$C$15</f>
        <v/>
      </c>
      <c r="C11" t="inlineStr">
        <is>
          <t>Metas S10</t>
        </is>
      </c>
    </row>
    <row r="12">
      <c r="A12" t="inlineStr">
        <is>
          <t>EBITDA mensual en meta</t>
        </is>
      </c>
      <c r="B12" s="16">
        <f>B11*B6-B7</f>
        <v/>
      </c>
      <c r="C12" t="inlineStr">
        <is>
          <t>Eventos × contribución − fijos</t>
        </is>
      </c>
    </row>
    <row r="13">
      <c r="A13" t="inlineStr">
        <is>
          <t>CAPEX total</t>
        </is>
      </c>
      <c r="B13" s="16">
        <f>Parámetros!$C$52+Parámetros!$C$53+Parámetros!$C$54+Parámetros!$C$55+Parámetros!$C$56</f>
        <v/>
      </c>
      <c r="C13" t="inlineStr">
        <is>
          <t>Parámetros</t>
        </is>
      </c>
    </row>
    <row r="14">
      <c r="A14" t="inlineStr">
        <is>
          <t>Payback del CAPEX (meses en estado estable)</t>
        </is>
      </c>
      <c r="B14" s="15">
        <f>IF(B12&gt;0,B13/B12,"No recupera")</f>
        <v/>
      </c>
      <c r="C14" t="inlineStr">
        <is>
          <t>CAPEX / EBITDA mensual</t>
        </is>
      </c>
    </row>
    <row r="15">
      <c r="A15" t="inlineStr">
        <is>
          <t>Ingreso neto por día disponible en meta</t>
        </is>
      </c>
      <c r="B15" s="16">
        <f>IF(B9&gt;0,(B11*B5-B11*B5*Parámetros!$C$32*Parámetros!$C$35-B11*Parámetros!$C$39)/B9,0)</f>
        <v/>
      </c>
      <c r="C15" t="inlineStr">
        <is>
          <t>KPI del dashboard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Sensibilidad: EBITDA mensual (S/) según ocupación total y ticket</t>
        </is>
      </c>
    </row>
    <row r="2">
      <c r="A2" s="3" t="inlineStr">
        <is>
          <t>Ocupación sobre todos los días disponibles; ticket = promedio ponderado × (1 + variación).</t>
        </is>
      </c>
    </row>
    <row r="4">
      <c r="A4" s="14" t="inlineStr">
        <is>
          <t>Ocupación ↓ / Ticket →</t>
        </is>
      </c>
      <c r="B4" s="18" t="n">
        <v>-0.2</v>
      </c>
      <c r="C4" s="18" t="n">
        <v>-0.1</v>
      </c>
      <c r="D4" s="18" t="n">
        <v>0</v>
      </c>
      <c r="E4" s="18" t="n">
        <v>0.1</v>
      </c>
      <c r="F4" s="18" t="n">
        <v>0.2</v>
      </c>
    </row>
    <row r="5">
      <c r="A5" s="19" t="n">
        <v>0.2</v>
      </c>
      <c r="B5" s="10">
        <f>$A5*Equilibrio!$B$9*(('Unit economics'!$C$18*(1+B$4))-Parámetros!$C$39-('Unit economics'!$C$18*(1+B$4))*Parámetros!$C$32*Parámetros!$C$35)-Equilibrio!$B$7</f>
        <v/>
      </c>
      <c r="C5" s="10">
        <f>$A5*Equilibrio!$B$9*(('Unit economics'!$C$18*(1+C$4))-Parámetros!$C$39-('Unit economics'!$C$18*(1+C$4))*Parámetros!$C$32*Parámetros!$C$35)-Equilibrio!$B$7</f>
        <v/>
      </c>
      <c r="D5" s="10">
        <f>$A5*Equilibrio!$B$9*(('Unit economics'!$C$18*(1+D$4))-Parámetros!$C$39-('Unit economics'!$C$18*(1+D$4))*Parámetros!$C$32*Parámetros!$C$35)-Equilibrio!$B$7</f>
        <v/>
      </c>
      <c r="E5" s="10">
        <f>$A5*Equilibrio!$B$9*(('Unit economics'!$C$18*(1+E$4))-Parámetros!$C$39-('Unit economics'!$C$18*(1+E$4))*Parámetros!$C$32*Parámetros!$C$35)-Equilibrio!$B$7</f>
        <v/>
      </c>
      <c r="F5" s="10">
        <f>$A5*Equilibrio!$B$9*(('Unit economics'!$C$18*(1+F$4))-Parámetros!$C$39-('Unit economics'!$C$18*(1+F$4))*Parámetros!$C$32*Parámetros!$C$35)-Equilibrio!$B$7</f>
        <v/>
      </c>
    </row>
    <row r="6">
      <c r="A6" s="19" t="n">
        <v>0.3</v>
      </c>
      <c r="B6" s="10">
        <f>$A6*Equilibrio!$B$9*(('Unit economics'!$C$18*(1+B$4))-Parámetros!$C$39-('Unit economics'!$C$18*(1+B$4))*Parámetros!$C$32*Parámetros!$C$35)-Equilibrio!$B$7</f>
        <v/>
      </c>
      <c r="C6" s="10">
        <f>$A6*Equilibrio!$B$9*(('Unit economics'!$C$18*(1+C$4))-Parámetros!$C$39-('Unit economics'!$C$18*(1+C$4))*Parámetros!$C$32*Parámetros!$C$35)-Equilibrio!$B$7</f>
        <v/>
      </c>
      <c r="D6" s="10">
        <f>$A6*Equilibrio!$B$9*(('Unit economics'!$C$18*(1+D$4))-Parámetros!$C$39-('Unit economics'!$C$18*(1+D$4))*Parámetros!$C$32*Parámetros!$C$35)-Equilibrio!$B$7</f>
        <v/>
      </c>
      <c r="E6" s="10">
        <f>$A6*Equilibrio!$B$9*(('Unit economics'!$C$18*(1+E$4))-Parámetros!$C$39-('Unit economics'!$C$18*(1+E$4))*Parámetros!$C$32*Parámetros!$C$35)-Equilibrio!$B$7</f>
        <v/>
      </c>
      <c r="F6" s="10">
        <f>$A6*Equilibrio!$B$9*(('Unit economics'!$C$18*(1+F$4))-Parámetros!$C$39-('Unit economics'!$C$18*(1+F$4))*Parámetros!$C$32*Parámetros!$C$35)-Equilibrio!$B$7</f>
        <v/>
      </c>
    </row>
    <row r="7">
      <c r="A7" s="19" t="n">
        <v>0.4</v>
      </c>
      <c r="B7" s="10">
        <f>$A7*Equilibrio!$B$9*(('Unit economics'!$C$18*(1+B$4))-Parámetros!$C$39-('Unit economics'!$C$18*(1+B$4))*Parámetros!$C$32*Parámetros!$C$35)-Equilibrio!$B$7</f>
        <v/>
      </c>
      <c r="C7" s="10">
        <f>$A7*Equilibrio!$B$9*(('Unit economics'!$C$18*(1+C$4))-Parámetros!$C$39-('Unit economics'!$C$18*(1+C$4))*Parámetros!$C$32*Parámetros!$C$35)-Equilibrio!$B$7</f>
        <v/>
      </c>
      <c r="D7" s="10">
        <f>$A7*Equilibrio!$B$9*(('Unit economics'!$C$18*(1+D$4))-Parámetros!$C$39-('Unit economics'!$C$18*(1+D$4))*Parámetros!$C$32*Parámetros!$C$35)-Equilibrio!$B$7</f>
        <v/>
      </c>
      <c r="E7" s="10">
        <f>$A7*Equilibrio!$B$9*(('Unit economics'!$C$18*(1+E$4))-Parámetros!$C$39-('Unit economics'!$C$18*(1+E$4))*Parámetros!$C$32*Parámetros!$C$35)-Equilibrio!$B$7</f>
        <v/>
      </c>
      <c r="F7" s="10">
        <f>$A7*Equilibrio!$B$9*(('Unit economics'!$C$18*(1+F$4))-Parámetros!$C$39-('Unit economics'!$C$18*(1+F$4))*Parámetros!$C$32*Parámetros!$C$35)-Equilibrio!$B$7</f>
        <v/>
      </c>
    </row>
    <row r="8">
      <c r="A8" s="19" t="n">
        <v>0.5</v>
      </c>
      <c r="B8" s="10">
        <f>$A8*Equilibrio!$B$9*(('Unit economics'!$C$18*(1+B$4))-Parámetros!$C$39-('Unit economics'!$C$18*(1+B$4))*Parámetros!$C$32*Parámetros!$C$35)-Equilibrio!$B$7</f>
        <v/>
      </c>
      <c r="C8" s="10">
        <f>$A8*Equilibrio!$B$9*(('Unit economics'!$C$18*(1+C$4))-Parámetros!$C$39-('Unit economics'!$C$18*(1+C$4))*Parámetros!$C$32*Parámetros!$C$35)-Equilibrio!$B$7</f>
        <v/>
      </c>
      <c r="D8" s="10">
        <f>$A8*Equilibrio!$B$9*(('Unit economics'!$C$18*(1+D$4))-Parámetros!$C$39-('Unit economics'!$C$18*(1+D$4))*Parámetros!$C$32*Parámetros!$C$35)-Equilibrio!$B$7</f>
        <v/>
      </c>
      <c r="E8" s="10">
        <f>$A8*Equilibrio!$B$9*(('Unit economics'!$C$18*(1+E$4))-Parámetros!$C$39-('Unit economics'!$C$18*(1+E$4))*Parámetros!$C$32*Parámetros!$C$35)-Equilibrio!$B$7</f>
        <v/>
      </c>
      <c r="F8" s="10">
        <f>$A8*Equilibrio!$B$9*(('Unit economics'!$C$18*(1+F$4))-Parámetros!$C$39-('Unit economics'!$C$18*(1+F$4))*Parámetros!$C$32*Parámetros!$C$35)-Equilibrio!$B$7</f>
        <v/>
      </c>
    </row>
    <row r="9">
      <c r="A9" s="19" t="n">
        <v>0.6</v>
      </c>
      <c r="B9" s="10">
        <f>$A9*Equilibrio!$B$9*(('Unit economics'!$C$18*(1+B$4))-Parámetros!$C$39-('Unit economics'!$C$18*(1+B$4))*Parámetros!$C$32*Parámetros!$C$35)-Equilibrio!$B$7</f>
        <v/>
      </c>
      <c r="C9" s="10">
        <f>$A9*Equilibrio!$B$9*(('Unit economics'!$C$18*(1+C$4))-Parámetros!$C$39-('Unit economics'!$C$18*(1+C$4))*Parámetros!$C$32*Parámetros!$C$35)-Equilibrio!$B$7</f>
        <v/>
      </c>
      <c r="D9" s="10">
        <f>$A9*Equilibrio!$B$9*(('Unit economics'!$C$18*(1+D$4))-Parámetros!$C$39-('Unit economics'!$C$18*(1+D$4))*Parámetros!$C$32*Parámetros!$C$35)-Equilibrio!$B$7</f>
        <v/>
      </c>
      <c r="E9" s="10">
        <f>$A9*Equilibrio!$B$9*(('Unit economics'!$C$18*(1+E$4))-Parámetros!$C$39-('Unit economics'!$C$18*(1+E$4))*Parámetros!$C$32*Parámetros!$C$35)-Equilibrio!$B$7</f>
        <v/>
      </c>
      <c r="F9" s="10">
        <f>$A9*Equilibrio!$B$9*(('Unit economics'!$C$18*(1+F$4))-Parámetros!$C$39-('Unit economics'!$C$18*(1+F$4))*Parámetros!$C$32*Parámetros!$C$35)-Equilibrio!$B$7</f>
        <v/>
      </c>
    </row>
    <row r="10">
      <c r="A10" s="19" t="n">
        <v>0.7</v>
      </c>
      <c r="B10" s="10">
        <f>$A10*Equilibrio!$B$9*(('Unit economics'!$C$18*(1+B$4))-Parámetros!$C$39-('Unit economics'!$C$18*(1+B$4))*Parámetros!$C$32*Parámetros!$C$35)-Equilibrio!$B$7</f>
        <v/>
      </c>
      <c r="C10" s="10">
        <f>$A10*Equilibrio!$B$9*(('Unit economics'!$C$18*(1+C$4))-Parámetros!$C$39-('Unit economics'!$C$18*(1+C$4))*Parámetros!$C$32*Parámetros!$C$35)-Equilibrio!$B$7</f>
        <v/>
      </c>
      <c r="D10" s="10">
        <f>$A10*Equilibrio!$B$9*(('Unit economics'!$C$18*(1+D$4))-Parámetros!$C$39-('Unit economics'!$C$18*(1+D$4))*Parámetros!$C$32*Parámetros!$C$35)-Equilibrio!$B$7</f>
        <v/>
      </c>
      <c r="E10" s="10">
        <f>$A10*Equilibrio!$B$9*(('Unit economics'!$C$18*(1+E$4))-Parámetros!$C$39-('Unit economics'!$C$18*(1+E$4))*Parámetros!$C$32*Parámetros!$C$35)-Equilibrio!$B$7</f>
        <v/>
      </c>
      <c r="F10" s="10">
        <f>$A10*Equilibrio!$B$9*(('Unit economics'!$C$18*(1+F$4))-Parámetros!$C$39-('Unit economics'!$C$18*(1+F$4))*Parámetros!$C$32*Parámetros!$C$35)-Equilibrio!$B$7</f>
        <v/>
      </c>
    </row>
    <row r="11">
      <c r="A11" s="19" t="n">
        <v>0.8</v>
      </c>
      <c r="B11" s="10">
        <f>$A11*Equilibrio!$B$9*(('Unit economics'!$C$18*(1+B$4))-Parámetros!$C$39-('Unit economics'!$C$18*(1+B$4))*Parámetros!$C$32*Parámetros!$C$35)-Equilibrio!$B$7</f>
        <v/>
      </c>
      <c r="C11" s="10">
        <f>$A11*Equilibrio!$B$9*(('Unit economics'!$C$18*(1+C$4))-Parámetros!$C$39-('Unit economics'!$C$18*(1+C$4))*Parámetros!$C$32*Parámetros!$C$35)-Equilibrio!$B$7</f>
        <v/>
      </c>
      <c r="D11" s="10">
        <f>$A11*Equilibrio!$B$9*(('Unit economics'!$C$18*(1+D$4))-Parámetros!$C$39-('Unit economics'!$C$18*(1+D$4))*Parámetros!$C$32*Parámetros!$C$35)-Equilibrio!$B$7</f>
        <v/>
      </c>
      <c r="E11" s="10">
        <f>$A11*Equilibrio!$B$9*(('Unit economics'!$C$18*(1+E$4))-Parámetros!$C$39-('Unit economics'!$C$18*(1+E$4))*Parámetros!$C$32*Parámetros!$C$35)-Equilibrio!$B$7</f>
        <v/>
      </c>
      <c r="F11" s="10">
        <f>$A11*Equilibrio!$B$9*(('Unit economics'!$C$18*(1+F$4))-Parámetros!$C$39-('Unit economics'!$C$18*(1+F$4))*Parámetros!$C$32*Parámetros!$C$35)-Equilibrio!$B$7</f>
        <v/>
      </c>
    </row>
  </sheetData>
  <conditionalFormatting sqref="B5:F11">
    <cfRule type="colorScale" priority="1">
      <colorScale>
        <cfvo type="min"/>
        <cfvo type="num" val="0"/>
        <cfvo type="max"/>
        <color rgb="00E8A598"/>
        <color rgb="00FFFFFF"/>
        <color rgb="009CC5A1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2" customWidth="1" min="3" max="3"/>
  </cols>
  <sheetData>
    <row r="1">
      <c r="A1" s="1" t="inlineStr">
        <is>
          <t>Punto de equilibrio entre pauta y planner</t>
        </is>
      </c>
    </row>
    <row r="2">
      <c r="A2" s="3" t="inlineStr">
        <is>
          <t>Si el CAC directo supera la comisión del planner, cada evento por pauta deja menos margen que uno por planner.</t>
        </is>
      </c>
    </row>
    <row r="4">
      <c r="A4" s="4" t="inlineStr">
        <is>
          <t>Indicador</t>
        </is>
      </c>
      <c r="B4" s="4" t="inlineStr">
        <is>
          <t>Valor</t>
        </is>
      </c>
      <c r="C4" s="4" t="inlineStr">
        <is>
          <t>Nota</t>
        </is>
      </c>
    </row>
    <row r="5">
      <c r="A5" t="inlineStr">
        <is>
          <t>Ticket promedio ponderado (sin IGV)</t>
        </is>
      </c>
      <c r="B5" s="16">
        <f>'Unit economics'!$C$18</f>
        <v/>
      </c>
      <c r="C5" t="inlineStr"/>
    </row>
    <row r="6">
      <c r="A6" t="inlineStr">
        <is>
          <t>Comisión del planner por evento (= CAC máximo tolerable)</t>
        </is>
      </c>
      <c r="B6" s="16">
        <f>B5*Parámetros!$C$35</f>
        <v/>
      </c>
      <c r="C6" t="inlineStr">
        <is>
          <t>Equilibrio: pagar más que esto por cliente directo no conviene</t>
        </is>
      </c>
    </row>
    <row r="7">
      <c r="A7" t="inlineStr">
        <is>
          <t>CAC directo actual (supuesto)</t>
        </is>
      </c>
      <c r="B7" s="16">
        <f>'Unit economics'!$C$20</f>
        <v/>
      </c>
      <c r="C7" t="inlineStr">
        <is>
          <t>Pauta mensual / eventos directos</t>
        </is>
      </c>
    </row>
    <row r="8">
      <c r="A8" t="inlineStr">
        <is>
          <t>Veredicto</t>
        </is>
      </c>
      <c r="B8" s="14">
        <f>IF(B7&lt;=B6,"La pauta cuesta menos que la comisión: OK","La pauta cuesta MÁS que la comisión: revisar campañas")</f>
        <v/>
      </c>
      <c r="C8" t="inlineStr">
        <is>
          <t>Mismo criterio que la alerta del dashboard</t>
        </is>
      </c>
    </row>
    <row r="9">
      <c r="A9" t="inlineStr">
        <is>
          <t>CPL máximo con la conversión supuesta</t>
        </is>
      </c>
      <c r="B9" s="20">
        <f>B6*Parámetros!$C$37</f>
        <v/>
      </c>
      <c r="C9" t="inlineStr">
        <is>
          <t>CAC máximo × conversión lead → evento</t>
        </is>
      </c>
    </row>
    <row r="10">
      <c r="A10" t="inlineStr">
        <is>
          <t>Eventos directos necesarios para justificar la pauta</t>
        </is>
      </c>
      <c r="B10" s="15">
        <f>IF(B6&gt;0,Parámetros!$C$36/B6,0)</f>
        <v/>
      </c>
      <c r="C10" t="inlineStr">
        <is>
          <t>Pauta / CAC máximo</t>
        </is>
      </c>
    </row>
    <row r="12">
      <c r="A12" s="2" t="inlineStr">
        <is>
          <t>CPL máximo según la conversión lead → evento</t>
        </is>
      </c>
    </row>
    <row r="13">
      <c r="A13" s="21" t="n">
        <v>0.02</v>
      </c>
      <c r="B13" s="22">
        <f>$B$6*A13</f>
        <v/>
      </c>
    </row>
    <row r="14">
      <c r="A14" s="21" t="n">
        <v>0.04</v>
      </c>
      <c r="B14" s="22">
        <f>$B$6*A14</f>
        <v/>
      </c>
    </row>
    <row r="15">
      <c r="A15" s="21" t="n">
        <v>0.06</v>
      </c>
      <c r="B15" s="22">
        <f>$B$6*A15</f>
        <v/>
      </c>
    </row>
    <row r="16">
      <c r="A16" s="21" t="n">
        <v>0.08</v>
      </c>
      <c r="B16" s="22">
        <f>$B$6*A16</f>
        <v/>
      </c>
    </row>
    <row r="17">
      <c r="A17" s="21" t="n">
        <v>0.1</v>
      </c>
      <c r="B17" s="22">
        <f>$B$6*A17</f>
        <v/>
      </c>
    </row>
    <row r="18">
      <c r="A18" s="21" t="n">
        <v>0.15</v>
      </c>
      <c r="B18" s="22">
        <f>$B$6*A18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2026-10-18T22:05:32Z</dcterms:created>
  <dcterms:modified xmlns:dcterms="http://purl.org/dc/terms/" xmlns:xsi="http://www.w3.org/2001/XMLSchema-instance" xsi:type="dcterms:W3CDTF">2026-10-18T22:05:32Z</dcterms:modified>
</cp:coreProperties>
</file>